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my.wal-mart.com/personal/t0a084i_cl_wal-mart_com/Documents/Escritorio/FO/"/>
    </mc:Choice>
  </mc:AlternateContent>
  <xr:revisionPtr revIDLastSave="15" documentId="8_{730D0C3D-9B75-4739-A9BB-6B57ABF2DC2F}" xr6:coauthVersionLast="47" xr6:coauthVersionMax="47" xr10:uidLastSave="{4DE2EB89-673B-4F2E-A522-B20FEAD83042}"/>
  <bookViews>
    <workbookView xWindow="-110" yWindow="-110" windowWidth="19420" windowHeight="10300" tabRatio="500" firstSheet="3" activeTab="10" xr2:uid="{00000000-000D-0000-FFFF-FFFF00000000}"/>
  </bookViews>
  <sheets>
    <sheet name="README" sheetId="1" r:id="rId1"/>
    <sheet name="Supuestos" sheetId="2" r:id="rId2"/>
    <sheet name="Perimetro_Familiar" sheetId="3" r:id="rId3"/>
    <sheet name="Liquidez" sheetId="4" r:id="rId4"/>
    <sheet name="Inversiones_Financieras" sheetId="5" r:id="rId5"/>
    <sheet name="Otras_Partidas" sheetId="6" r:id="rId6"/>
    <sheet name="Bienes_Raices" sheetId="7" r:id="rId7"/>
    <sheet name="Empresas" sheetId="8" r:id="rId8"/>
    <sheet name="Pasivos" sheetId="9" r:id="rId9"/>
    <sheet name="Activos_Contingentes" sheetId="10" r:id="rId10"/>
    <sheet name="Flujo_Caja" sheetId="11" r:id="rId11"/>
    <sheet name="Balance_Consolidado" sheetId="12" r:id="rId12"/>
    <sheet name="KPI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11" l="1"/>
  <c r="I34" i="7"/>
  <c r="K34" i="7" s="1"/>
  <c r="L34" i="7" s="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M26" i="11" s="1"/>
  <c r="AN18" i="11"/>
  <c r="AO18" i="11"/>
  <c r="AP18" i="11"/>
  <c r="AQ18" i="11"/>
  <c r="AR18" i="11"/>
  <c r="AS18" i="11"/>
  <c r="AT18" i="11"/>
  <c r="AU18" i="11"/>
  <c r="AV18" i="11"/>
  <c r="AW18" i="11"/>
  <c r="AX18" i="11"/>
  <c r="AY18" i="11"/>
  <c r="AZ18" i="11"/>
  <c r="BA18" i="11"/>
  <c r="BB18" i="11"/>
  <c r="BC18" i="11"/>
  <c r="BD18" i="11"/>
  <c r="BE18" i="11"/>
  <c r="BF18" i="11"/>
  <c r="BG18" i="11"/>
  <c r="BH18" i="11"/>
  <c r="BI18" i="11"/>
  <c r="B18" i="11"/>
  <c r="D16" i="11"/>
  <c r="E16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B26" i="11" s="1"/>
  <c r="AC15" i="11"/>
  <c r="AD15" i="11"/>
  <c r="AE15" i="11"/>
  <c r="AF15" i="11"/>
  <c r="AG15" i="11"/>
  <c r="AH15" i="11"/>
  <c r="AI15" i="11"/>
  <c r="AJ15" i="11"/>
  <c r="AK15" i="11"/>
  <c r="AK26" i="11" s="1"/>
  <c r="AL15" i="11"/>
  <c r="AM15" i="11"/>
  <c r="AN15" i="11"/>
  <c r="AO15" i="11"/>
  <c r="AP15" i="11"/>
  <c r="AQ15" i="11"/>
  <c r="AR15" i="11"/>
  <c r="AS15" i="11"/>
  <c r="AS26" i="11" s="1"/>
  <c r="AT15" i="11"/>
  <c r="AU15" i="11"/>
  <c r="AV15" i="11"/>
  <c r="AW15" i="11"/>
  <c r="AX15" i="11"/>
  <c r="AY15" i="11"/>
  <c r="AZ15" i="11"/>
  <c r="BA15" i="11"/>
  <c r="BB15" i="11"/>
  <c r="BC15" i="11"/>
  <c r="BD15" i="11"/>
  <c r="BE15" i="11"/>
  <c r="BF15" i="11"/>
  <c r="BG15" i="11"/>
  <c r="BH15" i="11"/>
  <c r="BI15" i="11"/>
  <c r="BI26" i="11" s="1"/>
  <c r="B15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B13" i="11"/>
  <c r="B6" i="11"/>
  <c r="E39" i="8"/>
  <c r="D5" i="8"/>
  <c r="D28" i="13"/>
  <c r="C28" i="13"/>
  <c r="B28" i="13"/>
  <c r="D27" i="13"/>
  <c r="C27" i="13"/>
  <c r="B27" i="13"/>
  <c r="B21" i="13"/>
  <c r="B39" i="12"/>
  <c r="B38" i="12"/>
  <c r="B37" i="12"/>
  <c r="B36" i="12"/>
  <c r="B21" i="12"/>
  <c r="BI80" i="11"/>
  <c r="BH80" i="11"/>
  <c r="BG80" i="11"/>
  <c r="BF80" i="11"/>
  <c r="BE80" i="11"/>
  <c r="BD80" i="11"/>
  <c r="BC80" i="11"/>
  <c r="BB80" i="11"/>
  <c r="BA80" i="11"/>
  <c r="AZ80" i="11"/>
  <c r="AY80" i="11"/>
  <c r="AX80" i="11"/>
  <c r="AW80" i="11"/>
  <c r="AV80" i="11"/>
  <c r="AU80" i="11"/>
  <c r="AT80" i="11"/>
  <c r="AS80" i="11"/>
  <c r="AR80" i="11"/>
  <c r="AQ80" i="11"/>
  <c r="AP80" i="11"/>
  <c r="AO80" i="11"/>
  <c r="AN80" i="11"/>
  <c r="AM80" i="11"/>
  <c r="AL80" i="11"/>
  <c r="AK80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BH26" i="11"/>
  <c r="BA26" i="11"/>
  <c r="AC26" i="11"/>
  <c r="B8" i="10"/>
  <c r="D10" i="9"/>
  <c r="B16" i="12" s="1"/>
  <c r="B17" i="12" s="1"/>
  <c r="B7" i="13" s="1"/>
  <c r="E38" i="8"/>
  <c r="D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H39" i="7"/>
  <c r="I38" i="7"/>
  <c r="M38" i="7" s="1"/>
  <c r="I33" i="7"/>
  <c r="M33" i="7" s="1"/>
  <c r="M32" i="7"/>
  <c r="K32" i="7"/>
  <c r="L32" i="7" s="1"/>
  <c r="M30" i="7"/>
  <c r="K30" i="7"/>
  <c r="L30" i="7" s="1"/>
  <c r="M29" i="7"/>
  <c r="K29" i="7"/>
  <c r="L29" i="7" s="1"/>
  <c r="M28" i="7"/>
  <c r="K28" i="7"/>
  <c r="L28" i="7" s="1"/>
  <c r="M27" i="7"/>
  <c r="K27" i="7"/>
  <c r="L27" i="7" s="1"/>
  <c r="M26" i="7"/>
  <c r="K26" i="7"/>
  <c r="L26" i="7" s="1"/>
  <c r="M25" i="7"/>
  <c r="K25" i="7"/>
  <c r="L25" i="7" s="1"/>
  <c r="M24" i="7"/>
  <c r="K24" i="7"/>
  <c r="L24" i="7" s="1"/>
  <c r="M23" i="7"/>
  <c r="K23" i="7"/>
  <c r="L23" i="7" s="1"/>
  <c r="M22" i="7"/>
  <c r="K22" i="7"/>
  <c r="L22" i="7" s="1"/>
  <c r="M21" i="7"/>
  <c r="K21" i="7"/>
  <c r="L21" i="7" s="1"/>
  <c r="M20" i="7"/>
  <c r="K20" i="7"/>
  <c r="L20" i="7" s="1"/>
  <c r="M19" i="7"/>
  <c r="K19" i="7"/>
  <c r="L19" i="7" s="1"/>
  <c r="M18" i="7"/>
  <c r="K18" i="7"/>
  <c r="L18" i="7" s="1"/>
  <c r="M17" i="7"/>
  <c r="K17" i="7"/>
  <c r="L17" i="7" s="1"/>
  <c r="M16" i="7"/>
  <c r="K16" i="7"/>
  <c r="L16" i="7" s="1"/>
  <c r="M15" i="7"/>
  <c r="K15" i="7"/>
  <c r="L15" i="7" s="1"/>
  <c r="M14" i="7"/>
  <c r="K14" i="7"/>
  <c r="L14" i="7" s="1"/>
  <c r="M13" i="7"/>
  <c r="K13" i="7"/>
  <c r="L13" i="7" s="1"/>
  <c r="M12" i="7"/>
  <c r="K12" i="7"/>
  <c r="L12" i="7" s="1"/>
  <c r="M11" i="7"/>
  <c r="K11" i="7"/>
  <c r="L11" i="7" s="1"/>
  <c r="M10" i="7"/>
  <c r="K10" i="7"/>
  <c r="L10" i="7" s="1"/>
  <c r="M9" i="7"/>
  <c r="K9" i="7"/>
  <c r="L9" i="7" s="1"/>
  <c r="M8" i="7"/>
  <c r="K8" i="7"/>
  <c r="L8" i="7" s="1"/>
  <c r="M7" i="7"/>
  <c r="K7" i="7"/>
  <c r="L7" i="7" s="1"/>
  <c r="M6" i="7"/>
  <c r="K6" i="7"/>
  <c r="L6" i="7" s="1"/>
  <c r="M5" i="7"/>
  <c r="K5" i="7"/>
  <c r="L5" i="7" s="1"/>
  <c r="B31" i="6"/>
  <c r="B9" i="12" s="1"/>
  <c r="B21" i="6"/>
  <c r="B8" i="12" s="1"/>
  <c r="B10" i="6"/>
  <c r="C59" i="5"/>
  <c r="D38" i="5"/>
  <c r="B7" i="12" s="1"/>
  <c r="D36" i="5"/>
  <c r="D37" i="5" s="1"/>
  <c r="D43" i="4"/>
  <c r="D33" i="4"/>
  <c r="B6" i="12" s="1"/>
  <c r="D32" i="4"/>
  <c r="AQ26" i="11" l="1"/>
  <c r="AI26" i="11"/>
  <c r="AA26" i="11"/>
  <c r="BD26" i="11"/>
  <c r="AV26" i="11"/>
  <c r="AV82" i="11" s="1"/>
  <c r="AN26" i="11"/>
  <c r="AN82" i="11" s="1"/>
  <c r="AU26" i="11"/>
  <c r="AU82" i="11" s="1"/>
  <c r="AM82" i="11"/>
  <c r="AZ26" i="11"/>
  <c r="AZ82" i="11" s="1"/>
  <c r="AF26" i="11"/>
  <c r="AF82" i="11" s="1"/>
  <c r="P26" i="11"/>
  <c r="P82" i="11" s="1"/>
  <c r="U26" i="11"/>
  <c r="U82" i="11" s="1"/>
  <c r="M26" i="11"/>
  <c r="M82" i="11" s="1"/>
  <c r="E26" i="11"/>
  <c r="E82" i="11" s="1"/>
  <c r="AS82" i="11"/>
  <c r="BA82" i="11"/>
  <c r="O26" i="11"/>
  <c r="O82" i="11" s="1"/>
  <c r="V26" i="11"/>
  <c r="V82" i="11" s="1"/>
  <c r="N26" i="11"/>
  <c r="N82" i="11" s="1"/>
  <c r="F26" i="11"/>
  <c r="F82" i="11" s="1"/>
  <c r="B26" i="11"/>
  <c r="B19" i="13" s="1"/>
  <c r="BI82" i="11"/>
  <c r="AK82" i="11"/>
  <c r="AC82" i="11"/>
  <c r="BD82" i="11"/>
  <c r="H26" i="11"/>
  <c r="H82" i="11" s="1"/>
  <c r="BC26" i="11"/>
  <c r="BC82" i="11" s="1"/>
  <c r="AQ82" i="11"/>
  <c r="AI82" i="11"/>
  <c r="AA82" i="11"/>
  <c r="K26" i="11"/>
  <c r="K82" i="11" s="1"/>
  <c r="C26" i="11"/>
  <c r="C82" i="11" s="1"/>
  <c r="K38" i="7"/>
  <c r="L38" i="7" s="1"/>
  <c r="AB82" i="11"/>
  <c r="AE26" i="11"/>
  <c r="AE82" i="11" s="1"/>
  <c r="BB26" i="11"/>
  <c r="BB82" i="11" s="1"/>
  <c r="AT26" i="11"/>
  <c r="AT82" i="11" s="1"/>
  <c r="AL26" i="11"/>
  <c r="AL82" i="11" s="1"/>
  <c r="AD26" i="11"/>
  <c r="AD82" i="11" s="1"/>
  <c r="AX26" i="11"/>
  <c r="AX82" i="11" s="1"/>
  <c r="AH26" i="11"/>
  <c r="AH82" i="11" s="1"/>
  <c r="AW26" i="11"/>
  <c r="AW82" i="11" s="1"/>
  <c r="W26" i="11"/>
  <c r="W82" i="11" s="1"/>
  <c r="G26" i="11"/>
  <c r="G82" i="11" s="1"/>
  <c r="AP26" i="11"/>
  <c r="AP82" i="11" s="1"/>
  <c r="AO26" i="11"/>
  <c r="AO82" i="11" s="1"/>
  <c r="BF26" i="11"/>
  <c r="BF82" i="11" s="1"/>
  <c r="BE26" i="11"/>
  <c r="BE82" i="11" s="1"/>
  <c r="AG26" i="11"/>
  <c r="AG82" i="11" s="1"/>
  <c r="Q26" i="11"/>
  <c r="Q82" i="11" s="1"/>
  <c r="I26" i="11"/>
  <c r="I82" i="11" s="1"/>
  <c r="BH82" i="11"/>
  <c r="AR26" i="11"/>
  <c r="AR82" i="11" s="1"/>
  <c r="AJ26" i="11"/>
  <c r="AJ82" i="11" s="1"/>
  <c r="T26" i="11"/>
  <c r="T82" i="11" s="1"/>
  <c r="L26" i="11"/>
  <c r="L82" i="11" s="1"/>
  <c r="BG26" i="11"/>
  <c r="BG82" i="11" s="1"/>
  <c r="AY26" i="11"/>
  <c r="AY82" i="11" s="1"/>
  <c r="S26" i="11"/>
  <c r="S82" i="11" s="1"/>
  <c r="D26" i="11"/>
  <c r="D82" i="11" s="1"/>
  <c r="Z26" i="11"/>
  <c r="Z82" i="11" s="1"/>
  <c r="R26" i="11"/>
  <c r="R82" i="11" s="1"/>
  <c r="J26" i="11"/>
  <c r="J82" i="11" s="1"/>
  <c r="Y26" i="11"/>
  <c r="Y82" i="11" s="1"/>
  <c r="X26" i="11"/>
  <c r="X82" i="11" s="1"/>
  <c r="B11" i="12"/>
  <c r="B30" i="12" s="1"/>
  <c r="B31" i="12"/>
  <c r="B27" i="12"/>
  <c r="B20" i="13"/>
  <c r="B28" i="12"/>
  <c r="K33" i="7"/>
  <c r="L33" i="7" s="1"/>
  <c r="I39" i="7"/>
  <c r="B82" i="11" l="1"/>
  <c r="L39" i="7"/>
  <c r="B10" i="12" s="1"/>
  <c r="B29" i="12" s="1"/>
  <c r="K39" i="7"/>
  <c r="B12" i="12" l="1"/>
  <c r="C27" i="12" s="1"/>
  <c r="B6" i="13"/>
  <c r="C7" i="12"/>
  <c r="C11" i="12"/>
  <c r="C6" i="12"/>
  <c r="C8" i="12"/>
  <c r="C10" i="12"/>
  <c r="C29" i="12"/>
  <c r="C30" i="12"/>
  <c r="C9" i="12" l="1"/>
  <c r="B20" i="12"/>
  <c r="C31" i="12"/>
  <c r="C28" i="12"/>
  <c r="B15" i="13"/>
  <c r="B9" i="13"/>
  <c r="B32" i="13"/>
  <c r="D26" i="13"/>
  <c r="C26" i="13"/>
  <c r="B26" i="13"/>
  <c r="B11" i="13"/>
  <c r="B14" i="13"/>
  <c r="B13" i="13"/>
  <c r="B12" i="13"/>
  <c r="B22" i="12"/>
  <c r="B8" i="13"/>
  <c r="D25" i="13" l="1"/>
  <c r="C25" i="13"/>
  <c r="B25" i="13"/>
  <c r="B33" i="13"/>
  <c r="B10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00000000-0006-0000-0300-000001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6" authorId="0" shapeId="0" xr:uid="{00000000-0006-0000-0300-000002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7" authorId="0" shapeId="0" xr:uid="{00000000-0006-0000-0300-000003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8" authorId="0" shapeId="0" xr:uid="{00000000-0006-0000-0300-000004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9" authorId="0" shapeId="0" xr:uid="{00000000-0006-0000-0300-000005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10" authorId="0" shapeId="0" xr:uid="{00000000-0006-0000-0300-000006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11" authorId="0" shapeId="0" xr:uid="{00000000-0006-0000-0300-000007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12" authorId="0" shapeId="0" xr:uid="{00000000-0006-0000-0300-000008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13" authorId="0" shapeId="0" xr:uid="{00000000-0006-0000-0300-000009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14" authorId="0" shapeId="0" xr:uid="{00000000-0006-0000-0300-00000A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15" authorId="0" shapeId="0" xr:uid="{00000000-0006-0000-0300-00000B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16" authorId="0" shapeId="0" xr:uid="{00000000-0006-0000-0300-00000C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17" authorId="0" shapeId="0" xr:uid="{00000000-0006-0000-0300-00000D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18" authorId="0" shapeId="0" xr:uid="{00000000-0006-0000-0300-00000E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19" authorId="0" shapeId="0" xr:uid="{00000000-0006-0000-0300-00000F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20" authorId="0" shapeId="0" xr:uid="{00000000-0006-0000-0300-000010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21" authorId="0" shapeId="0" xr:uid="{00000000-0006-0000-0300-000011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22" authorId="0" shapeId="0" xr:uid="{00000000-0006-0000-0300-000012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23" authorId="0" shapeId="0" xr:uid="{00000000-0006-0000-0300-000013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24" authorId="0" shapeId="0" xr:uid="{00000000-0006-0000-0300-000014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25" authorId="0" shapeId="0" xr:uid="{00000000-0006-0000-0300-000015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26" authorId="0" shapeId="0" xr:uid="{00000000-0006-0000-0300-000016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27" authorId="0" shapeId="0" xr:uid="{00000000-0006-0000-0300-000017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28" authorId="0" shapeId="0" xr:uid="{00000000-0006-0000-0300-000018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29" authorId="0" shapeId="0" xr:uid="{00000000-0006-0000-0300-000019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30" authorId="0" shapeId="0" xr:uid="{00000000-0006-0000-0300-00001A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31" authorId="0" shapeId="0" xr:uid="{00000000-0006-0000-0300-00001B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37" authorId="0" shapeId="0" xr:uid="{00000000-0006-0000-0300-00001C000000}">
      <text>
        <r>
          <rPr>
            <sz val="10"/>
            <rFont val="Arial"/>
            <family val="2"/>
          </rPr>
          <t>Fuente: FO.xlsx, hoja 'Liquidez'. Snapshot jul-2026, en pesos absolutos.</t>
        </r>
      </text>
    </comment>
    <comment ref="D38" authorId="0" shapeId="0" xr:uid="{00000000-0006-0000-0300-00001D000000}">
      <text>
        <r>
          <rPr>
            <sz val="10"/>
            <rFont val="Arial"/>
            <family val="2"/>
          </rPr>
          <t>Fuente: FO.xlsx, hoja 'Liquidez'. Snapshot jul-2026, en pesos absolutos.</t>
        </r>
      </text>
    </comment>
    <comment ref="D39" authorId="0" shapeId="0" xr:uid="{00000000-0006-0000-0300-00001E000000}">
      <text>
        <r>
          <rPr>
            <sz val="10"/>
            <rFont val="Arial"/>
            <family val="2"/>
          </rPr>
          <t>Fuente: FO.xlsx, hoja 'Liquidez'. Snapshot jul-2026, en pesos absolutos.</t>
        </r>
      </text>
    </comment>
    <comment ref="D40" authorId="0" shapeId="0" xr:uid="{00000000-0006-0000-0300-00001F000000}">
      <text>
        <r>
          <rPr>
            <sz val="10"/>
            <rFont val="Arial"/>
            <family val="2"/>
          </rPr>
          <t>Fuente: FO.xlsx, hoja 'Liquidez'. Snapshot jul-2026, en pesos absolutos.</t>
        </r>
      </text>
    </comment>
    <comment ref="D41" authorId="0" shapeId="0" xr:uid="{00000000-0006-0000-0300-000020000000}">
      <text>
        <r>
          <rPr>
            <sz val="10"/>
            <rFont val="Arial"/>
            <family val="2"/>
          </rPr>
          <t>Fuente: FO.xlsx, hoja 'Liquidez'. Snapshot jul-2026, en pesos absolutos.</t>
        </r>
      </text>
    </comment>
    <comment ref="D42" authorId="0" shapeId="0" xr:uid="{00000000-0006-0000-0300-000021000000}">
      <text>
        <r>
          <rPr>
            <sz val="10"/>
            <rFont val="Arial"/>
            <family val="2"/>
          </rPr>
          <t>Fuente: FO.xlsx, hoja 'Liquidez'. Snapshot jul-2026, en pesos absolutos.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00000000-0006-0000-0400-000012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6" authorId="0" shapeId="0" xr:uid="{00000000-0006-0000-0400-000013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7" authorId="0" shapeId="0" xr:uid="{00000000-0006-0000-0400-000014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8" authorId="0" shapeId="0" xr:uid="{00000000-0006-0000-0400-000015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9" authorId="0" shapeId="0" xr:uid="{00000000-0006-0000-0400-000016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10" authorId="0" shapeId="0" xr:uid="{00000000-0006-0000-0400-000017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11" authorId="0" shapeId="0" xr:uid="{00000000-0006-0000-0400-000018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12" authorId="0" shapeId="0" xr:uid="{00000000-0006-0000-0400-000019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13" authorId="0" shapeId="0" xr:uid="{00000000-0006-0000-0400-00001A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14" authorId="0" shapeId="0" xr:uid="{00000000-0006-0000-0400-00001B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15" authorId="0" shapeId="0" xr:uid="{00000000-0006-0000-0400-00001C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16" authorId="0" shapeId="0" xr:uid="{00000000-0006-0000-0400-00001D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17" authorId="0" shapeId="0" xr:uid="{00000000-0006-0000-0400-00001E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18" authorId="0" shapeId="0" xr:uid="{00000000-0006-0000-0400-00001F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19" authorId="0" shapeId="0" xr:uid="{00000000-0006-0000-0400-000020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20" authorId="0" shapeId="0" xr:uid="{00000000-0006-0000-0400-000021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21" authorId="0" shapeId="0" xr:uid="{00000000-0006-0000-0400-000022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22" authorId="0" shapeId="0" xr:uid="{00000000-0006-0000-0400-000023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23" authorId="0" shapeId="0" xr:uid="{00000000-0006-0000-0400-000024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24" authorId="0" shapeId="0" xr:uid="{00000000-0006-0000-0400-000025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25" authorId="0" shapeId="0" xr:uid="{00000000-0006-0000-0400-000026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26" authorId="0" shapeId="0" xr:uid="{00000000-0006-0000-0400-000027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27" authorId="0" shapeId="0" xr:uid="{00000000-0006-0000-0400-000028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28" authorId="0" shapeId="0" xr:uid="{00000000-0006-0000-0400-000029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29" authorId="0" shapeId="0" xr:uid="{00000000-0006-0000-0400-00002A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30" authorId="0" shapeId="0" xr:uid="{00000000-0006-0000-0400-00002B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31" authorId="0" shapeId="0" xr:uid="{00000000-0006-0000-0400-00002C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32" authorId="0" shapeId="0" xr:uid="{00000000-0006-0000-0400-00002D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33" authorId="0" shapeId="0" xr:uid="{00000000-0006-0000-0400-00002E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34" authorId="0" shapeId="0" xr:uid="{00000000-0006-0000-0400-00002F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35" authorId="0" shapeId="0" xr:uid="{00000000-0006-0000-0400-000030000000}">
      <text>
        <r>
          <rPr>
            <sz val="10"/>
            <rFont val="Arial"/>
            <family val="2"/>
          </rPr>
          <t>Fuente: Flujo_de_Caja...OCTUBRE_2025.xlsx, hoja 'Flujo General', columna oct-2025. Valor original en miles de pesos, convertido x1000.</t>
        </r>
      </text>
    </comment>
    <comment ref="D36" authorId="0" shapeId="0" xr:uid="{00000000-0006-0000-0400-000031000000}">
      <text>
        <r>
          <rPr>
            <sz val="10"/>
            <rFont val="Arial"/>
            <family val="2"/>
          </rPr>
          <t>Fuente: dato entregado por el cliente (08-2026), no figuraba en FO.xlsx ni en el Flujo de Caja. USD 150.000 x $913.86 (Dólar Observado, Banco Central de Chile, 08-08-2026).</t>
        </r>
      </text>
    </comment>
    <comment ref="C42" authorId="0" shapeId="0" xr:uid="{00000000-0006-0000-0400-000001000000}">
      <text>
        <r>
          <rPr>
            <sz val="10"/>
            <rFont val="Arial"/>
            <family val="2"/>
          </rPr>
          <t>Fuente: FO.xlsx, hoja 'Inversiones'. Snapshot jul-2026, en pesos absolutos.</t>
        </r>
      </text>
    </comment>
    <comment ref="C43" authorId="0" shapeId="0" xr:uid="{00000000-0006-0000-0400-000002000000}">
      <text>
        <r>
          <rPr>
            <sz val="10"/>
            <rFont val="Arial"/>
            <family val="2"/>
          </rPr>
          <t>Fuente: FO.xlsx, hoja 'Inversiones'. Snapshot jul-2026, en pesos absolutos.</t>
        </r>
      </text>
    </comment>
    <comment ref="C44" authorId="0" shapeId="0" xr:uid="{00000000-0006-0000-0400-000003000000}">
      <text>
        <r>
          <rPr>
            <sz val="10"/>
            <rFont val="Arial"/>
            <family val="2"/>
          </rPr>
          <t>Fuente: FO.xlsx, hoja 'Inversiones'. Snapshot jul-2026, en pesos absolutos.</t>
        </r>
      </text>
    </comment>
    <comment ref="C45" authorId="0" shapeId="0" xr:uid="{00000000-0006-0000-0400-000004000000}">
      <text>
        <r>
          <rPr>
            <sz val="10"/>
            <rFont val="Arial"/>
            <family val="2"/>
          </rPr>
          <t>Fuente: FO.xlsx, hoja 'Inversiones'. Snapshot jul-2026, en pesos absolutos.</t>
        </r>
      </text>
    </comment>
    <comment ref="C46" authorId="0" shapeId="0" xr:uid="{00000000-0006-0000-0400-000005000000}">
      <text>
        <r>
          <rPr>
            <sz val="10"/>
            <rFont val="Arial"/>
            <family val="2"/>
          </rPr>
          <t>Fuente: FO.xlsx, hoja 'Inversiones'. Snapshot jul-2026, en pesos absolutos.</t>
        </r>
      </text>
    </comment>
    <comment ref="C47" authorId="0" shapeId="0" xr:uid="{00000000-0006-0000-0400-000006000000}">
      <text>
        <r>
          <rPr>
            <sz val="10"/>
            <rFont val="Arial"/>
            <family val="2"/>
          </rPr>
          <t>Fuente: FO.xlsx, hoja 'Inversiones'. Snapshot jul-2026, en pesos absolutos.</t>
        </r>
      </text>
    </comment>
    <comment ref="C48" authorId="0" shapeId="0" xr:uid="{00000000-0006-0000-0400-000007000000}">
      <text>
        <r>
          <rPr>
            <sz val="10"/>
            <rFont val="Arial"/>
            <family val="2"/>
          </rPr>
          <t>Fuente: FO.xlsx, hoja 'Inversiones'. Snapshot jul-2026, en pesos absolutos.</t>
        </r>
      </text>
    </comment>
    <comment ref="C49" authorId="0" shapeId="0" xr:uid="{00000000-0006-0000-0400-000008000000}">
      <text>
        <r>
          <rPr>
            <sz val="10"/>
            <rFont val="Arial"/>
            <family val="2"/>
          </rPr>
          <t>Fuente: FO.xlsx, hoja 'Inversiones'. Snapshot jul-2026, en pesos absolutos.</t>
        </r>
      </text>
    </comment>
    <comment ref="C50" authorId="0" shapeId="0" xr:uid="{00000000-0006-0000-0400-000009000000}">
      <text>
        <r>
          <rPr>
            <sz val="10"/>
            <rFont val="Arial"/>
            <family val="2"/>
          </rPr>
          <t>Fuente: FO.xlsx, hoja 'Inversiones'. Snapshot jul-2026, en pesos absolutos.</t>
        </r>
      </text>
    </comment>
    <comment ref="C51" authorId="0" shapeId="0" xr:uid="{00000000-0006-0000-0400-00000A000000}">
      <text>
        <r>
          <rPr>
            <sz val="10"/>
            <rFont val="Arial"/>
            <family val="2"/>
          </rPr>
          <t>Fuente: FO.xlsx, hoja 'Inversiones'. Snapshot jul-2026, en pesos absolutos.</t>
        </r>
      </text>
    </comment>
    <comment ref="C52" authorId="0" shapeId="0" xr:uid="{00000000-0006-0000-0400-00000B000000}">
      <text>
        <r>
          <rPr>
            <sz val="10"/>
            <rFont val="Arial"/>
            <family val="2"/>
          </rPr>
          <t>Fuente: FO.xlsx, hoja 'Inversiones'. Snapshot jul-2026, en pesos absolutos.</t>
        </r>
      </text>
    </comment>
    <comment ref="C53" authorId="0" shapeId="0" xr:uid="{00000000-0006-0000-0400-00000C000000}">
      <text>
        <r>
          <rPr>
            <sz val="10"/>
            <rFont val="Arial"/>
            <family val="2"/>
          </rPr>
          <t>Fuente: FO.xlsx, hoja 'Inversiones'. Snapshot jul-2026, en pesos absolutos.</t>
        </r>
      </text>
    </comment>
    <comment ref="C54" authorId="0" shapeId="0" xr:uid="{00000000-0006-0000-0400-00000D000000}">
      <text>
        <r>
          <rPr>
            <sz val="10"/>
            <rFont val="Arial"/>
            <family val="2"/>
          </rPr>
          <t>Fuente: FO.xlsx, hoja 'Inversiones'. Snapshot jul-2026, en pesos absolutos.</t>
        </r>
      </text>
    </comment>
    <comment ref="C55" authorId="0" shapeId="0" xr:uid="{00000000-0006-0000-0400-00000E000000}">
      <text>
        <r>
          <rPr>
            <sz val="10"/>
            <rFont val="Arial"/>
            <family val="2"/>
          </rPr>
          <t>Fuente: FO.xlsx, hoja 'Inversiones'. Snapshot jul-2026, en pesos absolutos.</t>
        </r>
      </text>
    </comment>
    <comment ref="C56" authorId="0" shapeId="0" xr:uid="{00000000-0006-0000-0400-00000F000000}">
      <text>
        <r>
          <rPr>
            <sz val="10"/>
            <rFont val="Arial"/>
            <family val="2"/>
          </rPr>
          <t>Fuente: FO.xlsx, hoja 'Inversiones'. Snapshot jul-2026, en pesos absolutos.</t>
        </r>
      </text>
    </comment>
    <comment ref="C57" authorId="0" shapeId="0" xr:uid="{00000000-0006-0000-0400-000010000000}">
      <text>
        <r>
          <rPr>
            <sz val="10"/>
            <rFont val="Arial"/>
            <family val="2"/>
          </rPr>
          <t>Fuente: FO.xlsx, hoja 'Inversiones'. Snapshot jul-2026, en pesos absolutos.</t>
        </r>
      </text>
    </comment>
    <comment ref="C58" authorId="0" shapeId="0" xr:uid="{00000000-0006-0000-0400-000011000000}">
      <text>
        <r>
          <rPr>
            <sz val="10"/>
            <rFont val="Arial"/>
            <family val="2"/>
          </rPr>
          <t>Fuente: FO.xlsx, hoja 'Inversiones'. Snapshot jul-2026, en pesos absolutos.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5" authorId="0" shapeId="0" xr:uid="{00000000-0006-0000-0600-000001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6" authorId="0" shapeId="0" xr:uid="{00000000-0006-0000-0600-000002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7" authorId="0" shapeId="0" xr:uid="{00000000-0006-0000-0600-000003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8" authorId="0" shapeId="0" xr:uid="{00000000-0006-0000-0600-000004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9" authorId="0" shapeId="0" xr:uid="{00000000-0006-0000-0600-000005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10" authorId="0" shapeId="0" xr:uid="{00000000-0006-0000-0600-000006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11" authorId="0" shapeId="0" xr:uid="{00000000-0006-0000-0600-000007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12" authorId="0" shapeId="0" xr:uid="{00000000-0006-0000-0600-000008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13" authorId="0" shapeId="0" xr:uid="{00000000-0006-0000-0600-000009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14" authorId="0" shapeId="0" xr:uid="{00000000-0006-0000-0600-00000A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15" authorId="0" shapeId="0" xr:uid="{00000000-0006-0000-0600-00000B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16" authorId="0" shapeId="0" xr:uid="{00000000-0006-0000-0600-00000C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17" authorId="0" shapeId="0" xr:uid="{00000000-0006-0000-0600-00000D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18" authorId="0" shapeId="0" xr:uid="{00000000-0006-0000-0600-00000E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19" authorId="0" shapeId="0" xr:uid="{00000000-0006-0000-0600-00000F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20" authorId="0" shapeId="0" xr:uid="{00000000-0006-0000-0600-000010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21" authorId="0" shapeId="0" xr:uid="{00000000-0006-0000-0600-000011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22" authorId="0" shapeId="0" xr:uid="{00000000-0006-0000-0600-000012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23" authorId="0" shapeId="0" xr:uid="{00000000-0006-0000-0600-000013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24" authorId="0" shapeId="0" xr:uid="{00000000-0006-0000-0600-000014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25" authorId="0" shapeId="0" xr:uid="{00000000-0006-0000-0600-000015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26" authorId="0" shapeId="0" xr:uid="{00000000-0006-0000-0600-000016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27" authorId="0" shapeId="0" xr:uid="{00000000-0006-0000-0600-000017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28" authorId="0" shapeId="0" xr:uid="{00000000-0006-0000-0600-000018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29" authorId="0" shapeId="0" xr:uid="{00000000-0006-0000-0600-000019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H30" authorId="0" shapeId="0" xr:uid="{00000000-0006-0000-0600-00001A000000}">
      <text>
        <r>
          <rPr>
            <sz val="10"/>
            <rFont val="Arial"/>
            <family val="2"/>
          </rPr>
          <t>Fuente: FO.xlsx, hoja 'Bienes Raíces'. Avalúo Fiscal SII, 2° semestre 2026 (certificados descargados 20-07-2026).</t>
        </r>
      </text>
    </comment>
    <comment ref="I32" authorId="0" shapeId="0" xr:uid="{00000000-0006-0000-0600-00001B000000}">
      <text>
        <r>
          <rPr>
            <sz val="10"/>
            <rFont val="Arial"/>
            <family val="2"/>
          </rPr>
          <t>Valor = 50.000 UF x $40,844.79 (valor UF 08-08-2026, fuente Banco Central de Chile). Avalúo Fiscal aún no disponible.</t>
        </r>
      </text>
    </comment>
    <comment ref="I33" authorId="0" shapeId="0" xr:uid="{00000000-0006-0000-0600-00001C000000}">
      <text>
        <r>
          <rPr>
            <sz val="10"/>
            <rFont val="Arial"/>
            <family val="2"/>
          </rPr>
          <t>Confirmado por el cliente (08-2026): arriendo mensual $9.000.000, capitalizado a una tasa de 5,5% anual. Valor = (Arriendo mensual x 12) / Tasa de capitalización.</t>
        </r>
      </text>
    </comment>
    <comment ref="I38" authorId="0" shapeId="0" xr:uid="{00000000-0006-0000-0600-00001D000000}">
      <text>
        <r>
          <rPr>
            <sz val="10"/>
            <rFont val="Arial"/>
            <family val="2"/>
          </rPr>
          <t>Dato entregado por el cliente (08-2026): el valor del 40% de participación es $1.100.000.000. Valor del 100% del activo back-calculado = $1.100.000.000 / 40% = $2.750.000.000.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700-000001000000}">
      <text>
        <r>
          <rPr>
            <sz val="10"/>
            <rFont val="Arial"/>
            <family val="2"/>
          </rPr>
          <t>Fuente: FO.xlsx, hoja 'Participaciones Societarias'. Texto original: 'Verificar en fuente'. Provisorio — pendiente de verificación formal (escritura/registro de accionistas).</t>
        </r>
      </text>
    </comment>
    <comment ref="C6" authorId="0" shapeId="0" xr:uid="{00000000-0006-0000-0700-000002000000}">
      <text>
        <r>
          <rPr>
            <sz val="10"/>
            <rFont val="Arial"/>
            <family val="2"/>
          </rPr>
          <t>Fuente: FO.xlsx, hoja 'Participaciones Societarias'. Texto original: '50% (verificar)'. Provisorio — pendiente de verificación formal (escritura/registro de accionistas).</t>
        </r>
      </text>
    </comment>
    <comment ref="C7" authorId="0" shapeId="0" xr:uid="{00000000-0006-0000-0700-000003000000}">
      <text>
        <r>
          <rPr>
            <sz val="10"/>
            <rFont val="Arial"/>
            <family val="2"/>
          </rPr>
          <t>Fuente: FO.xlsx, hoja 'Participaciones Societarias'. Texto original: '50% (verificar)'. Provisorio — pendiente de verificación formal (escritura/registro de accionistas).</t>
        </r>
      </text>
    </comment>
    <comment ref="C8" authorId="0" shapeId="0" xr:uid="{00000000-0006-0000-0700-000004000000}">
      <text>
        <r>
          <rPr>
            <sz val="10"/>
            <rFont val="Arial"/>
            <family val="2"/>
          </rPr>
          <t>Fuente: FO.xlsx, hoja 'Participaciones Societarias'. Texto original: 'Verificar en fuente'. Provisorio — pendiente de verificación formal (escritura/registro de accionistas).</t>
        </r>
      </text>
    </comment>
    <comment ref="C9" authorId="0" shapeId="0" xr:uid="{00000000-0006-0000-0700-000005000000}">
      <text>
        <r>
          <rPr>
            <sz val="10"/>
            <rFont val="Arial"/>
            <family val="2"/>
          </rPr>
          <t>Fuente: FO.xlsx, hoja 'Participaciones Societarias'. Texto original: 'Verificar en fuente'. Provisorio — pendiente de verificación formal (escritura/registro de accionistas).</t>
        </r>
      </text>
    </comment>
    <comment ref="C10" authorId="0" shapeId="0" xr:uid="{00000000-0006-0000-0700-000006000000}">
      <text>
        <r>
          <rPr>
            <sz val="10"/>
            <rFont val="Arial"/>
            <family val="2"/>
          </rPr>
          <t>Fuente: FO.xlsx, hoja 'Participaciones Societarias'. Texto original: 'Verificar en fuente'. Provisorio — pendiente de verificación formal (escritura/registro de accionistas).</t>
        </r>
      </text>
    </comment>
    <comment ref="C11" authorId="0" shapeId="0" xr:uid="{00000000-0006-0000-0700-000007000000}">
      <text>
        <r>
          <rPr>
            <sz val="10"/>
            <rFont val="Arial"/>
            <family val="2"/>
          </rPr>
          <t>Fuente: FO.xlsx, hoja 'Participaciones Societarias'. Texto original: 'Verificar en fuente'. Provisorio — pendiente de verificación formal (escritura/registro de accionistas).</t>
        </r>
      </text>
    </comment>
    <comment ref="C12" authorId="0" shapeId="0" xr:uid="{00000000-0006-0000-0700-000008000000}">
      <text>
        <r>
          <rPr>
            <sz val="10"/>
            <rFont val="Arial"/>
            <family val="2"/>
          </rPr>
          <t>Fuente: FO.xlsx, hoja 'Participaciones Societarias'. Texto original: '45% (verificar)'. Provisorio — pendiente de verificación formal (escritura/registro de accionistas).</t>
        </r>
      </text>
    </comment>
    <comment ref="C13" authorId="0" shapeId="0" xr:uid="{00000000-0006-0000-0700-000009000000}">
      <text>
        <r>
          <rPr>
            <sz val="10"/>
            <rFont val="Arial"/>
            <family val="2"/>
          </rPr>
          <t>Fuente: FO.xlsx, hoja 'Participaciones Societarias'. Texto original: 'Verificar en fuente'. Provisorio — pendiente de verificación formal (escritura/registro de accionistas).</t>
        </r>
      </text>
    </comment>
    <comment ref="C14" authorId="0" shapeId="0" xr:uid="{00000000-0006-0000-0700-00000A000000}">
      <text>
        <r>
          <rPr>
            <sz val="10"/>
            <rFont val="Arial"/>
            <family val="2"/>
          </rPr>
          <t>Fuente: FO.xlsx, hoja 'Participaciones Societarias'. Texto original: 'Verificar en fuente'. Provisorio — pendiente de verificación formal (escritura/registro de accionistas).</t>
        </r>
      </text>
    </comment>
    <comment ref="C15" authorId="0" shapeId="0" xr:uid="{00000000-0006-0000-0700-00000B000000}">
      <text>
        <r>
          <rPr>
            <sz val="10"/>
            <rFont val="Arial"/>
            <family val="2"/>
          </rPr>
          <t>Fuente: FO.xlsx, hoja 'Participaciones Societarias'. Texto original: '80% (verificar)'. Provisorio — pendiente de verificación formal (escritura/registro de accionistas).</t>
        </r>
      </text>
    </comment>
    <comment ref="C16" authorId="0" shapeId="0" xr:uid="{00000000-0006-0000-0700-00000C000000}">
      <text>
        <r>
          <rPr>
            <sz val="10"/>
            <rFont val="Arial"/>
            <family val="2"/>
          </rPr>
          <t>Fuente: FO.xlsx, hoja 'Participaciones Societarias'. Texto original: 'Verificar en fuente'. Provisorio — pendiente de verificación formal (escritura/registro de accionistas).</t>
        </r>
      </text>
    </comment>
    <comment ref="C17" authorId="0" shapeId="0" xr:uid="{00000000-0006-0000-0700-00000D000000}">
      <text>
        <r>
          <rPr>
            <sz val="10"/>
            <rFont val="Arial"/>
            <family val="2"/>
          </rPr>
          <t>Fuente: FO.xlsx, hoja 'Participaciones Societarias'. Texto original: 'Verificar en fuente'. Provisorio — pendiente de verificación formal (escritura/registro de accionistas).</t>
        </r>
      </text>
    </comment>
    <comment ref="C18" authorId="0" shapeId="0" xr:uid="{00000000-0006-0000-0700-00000E000000}">
      <text>
        <r>
          <rPr>
            <sz val="10"/>
            <rFont val="Arial"/>
            <family val="2"/>
          </rPr>
          <t>Fuente: FO.xlsx, hoja 'Participaciones Societarias'. Texto original: 'Verificar en fuente'. Provisorio — pendiente de verificación formal (escritura/registro de accionistas).</t>
        </r>
      </text>
    </comment>
    <comment ref="C19" authorId="0" shapeId="0" xr:uid="{00000000-0006-0000-0700-00000F000000}">
      <text>
        <r>
          <rPr>
            <sz val="10"/>
            <rFont val="Arial"/>
            <family val="2"/>
          </rPr>
          <t>Fuente: FO.xlsx, hoja 'Participaciones Societarias'. Texto original: '0,1%'. Provisorio — pendiente de verificación formal (escritura/registro de accionistas).</t>
        </r>
      </text>
    </comment>
    <comment ref="C20" authorId="0" shapeId="0" xr:uid="{00000000-0006-0000-0700-000010000000}">
      <text>
        <r>
          <rPr>
            <sz val="10"/>
            <rFont val="Arial"/>
            <family val="2"/>
          </rPr>
          <t>Fuente: FO.xlsx, hoja 'Participaciones Societarias'. Texto original: '0,5%'. Provisorio — pendiente de verificación formal (escritura/registro de accionistas).</t>
        </r>
      </text>
    </comment>
    <comment ref="C21" authorId="0" shapeId="0" xr:uid="{00000000-0006-0000-0700-000011000000}">
      <text>
        <r>
          <rPr>
            <sz val="10"/>
            <rFont val="Arial"/>
            <family val="2"/>
          </rPr>
          <t>Fuente: FO.xlsx, hoja 'Participaciones Societarias'. Texto original: 'Verificar en fuente'. Provisorio — pendiente de verificación formal (escritura/registro de accionistas).</t>
        </r>
      </text>
    </comment>
    <comment ref="C22" authorId="0" shapeId="0" xr:uid="{00000000-0006-0000-0700-000012000000}">
      <text>
        <r>
          <rPr>
            <sz val="10"/>
            <rFont val="Arial"/>
            <family val="2"/>
          </rPr>
          <t>Fuente: FO.xlsx, hoja 'Participaciones Societarias'. Texto original: 'Verificar en fuente'. Provisorio — pendiente de verificación formal (escritura/registro de accionistas).</t>
        </r>
      </text>
    </comment>
    <comment ref="C23" authorId="0" shapeId="0" xr:uid="{00000000-0006-0000-0700-000013000000}">
      <text>
        <r>
          <rPr>
            <sz val="10"/>
            <rFont val="Arial"/>
            <family val="2"/>
          </rPr>
          <t>Fuente: FO.xlsx, hoja 'Participaciones Societarias'. Texto original: 'Verificar en fuente'. Provisorio — pendiente de verificación formal (escritura/registro de accionistas).</t>
        </r>
      </text>
    </comment>
    <comment ref="C24" authorId="0" shapeId="0" xr:uid="{00000000-0006-0000-0700-000014000000}">
      <text>
        <r>
          <rPr>
            <sz val="10"/>
            <rFont val="Arial"/>
            <family val="2"/>
          </rPr>
          <t>Fuente: FO.xlsx, hoja 'Participaciones Societarias'. Texto original: 'Verificar en fuente'. Provisorio — pendiente de verificación formal (escritura/registro de accionistas).</t>
        </r>
      </text>
    </comment>
    <comment ref="C25" authorId="0" shapeId="0" xr:uid="{00000000-0006-0000-0700-000015000000}">
      <text>
        <r>
          <rPr>
            <sz val="10"/>
            <rFont val="Arial"/>
            <family val="2"/>
          </rPr>
          <t>Fuente: FO.xlsx, hoja 'Participaciones Societarias'. Texto original: 'Verificar en fuente'. Provisorio — pendiente de verificación formal (escritura/registro de accionistas).</t>
        </r>
      </text>
    </comment>
    <comment ref="C26" authorId="0" shapeId="0" xr:uid="{00000000-0006-0000-0700-000016000000}">
      <text>
        <r>
          <rPr>
            <sz val="10"/>
            <rFont val="Arial"/>
            <family val="2"/>
          </rPr>
          <t>Fuente: FO.xlsx, hoja 'Participaciones Societarias'. Texto original: '100%'. Provisorio — pendiente de verificación formal (escritura/registro de accionistas).</t>
        </r>
      </text>
    </comment>
    <comment ref="C27" authorId="0" shapeId="0" xr:uid="{00000000-0006-0000-0700-000017000000}">
      <text>
        <r>
          <rPr>
            <sz val="10"/>
            <rFont val="Arial"/>
            <family val="2"/>
          </rPr>
          <t>Fuente: FO.xlsx, hoja 'Participaciones Societarias'. Texto original: 'Verificar en fuente'. Provisorio — pendiente de verificación formal (escritura/registro de accionistas).</t>
        </r>
      </text>
    </comment>
    <comment ref="C28" authorId="0" shapeId="0" xr:uid="{00000000-0006-0000-0700-000018000000}">
      <text>
        <r>
          <rPr>
            <sz val="10"/>
            <rFont val="Arial"/>
            <family val="2"/>
          </rPr>
          <t>Fuente: FO.xlsx, hoja 'Participaciones Societarias'. Texto original: 'Verificar en fuente'. Provisorio — pendiente de verificación formal (escritura/registro de accionistas).</t>
        </r>
      </text>
    </comment>
    <comment ref="C29" authorId="0" shapeId="0" xr:uid="{00000000-0006-0000-0700-000019000000}">
      <text>
        <r>
          <rPr>
            <sz val="10"/>
            <rFont val="Arial"/>
            <family val="2"/>
          </rPr>
          <t>Fuente: FO.xlsx, hoja 'Participaciones Societarias'. Texto original: '100%'. Provisorio — pendiente de verificación formal (escritura/registro de accionistas).</t>
        </r>
      </text>
    </comment>
    <comment ref="C30" authorId="0" shapeId="0" xr:uid="{00000000-0006-0000-0700-00001A000000}">
      <text>
        <r>
          <rPr>
            <sz val="10"/>
            <rFont val="Arial"/>
            <family val="2"/>
          </rPr>
          <t>Fuente: FO.xlsx, hoja 'Participaciones Societarias'. Texto original: '50%'. Provisorio — pendiente de verificación formal (escritura/registro de accionistas).</t>
        </r>
      </text>
    </comment>
    <comment ref="C31" authorId="0" shapeId="0" xr:uid="{00000000-0006-0000-0700-00001B000000}">
      <text>
        <r>
          <rPr>
            <sz val="10"/>
            <rFont val="Arial"/>
            <family val="2"/>
          </rPr>
          <t>Fuente: FO.xlsx, hoja 'Participaciones Societarias'. Texto original: '100% (verificar)'. Provisorio — pendiente de verificación formal (escritura/registro de accionistas).</t>
        </r>
      </text>
    </comment>
    <comment ref="C32" authorId="0" shapeId="0" xr:uid="{00000000-0006-0000-0700-00001C000000}">
      <text>
        <r>
          <rPr>
            <sz val="10"/>
            <rFont val="Arial"/>
            <family val="2"/>
          </rPr>
          <t>Fuente: FO.xlsx, hoja 'Participaciones Societarias'. Texto original: 'Verificar en fuente'. Provisorio — pendiente de verificación formal (escritura/registro de accionistas).</t>
        </r>
      </text>
    </comment>
    <comment ref="C33" authorId="0" shapeId="0" xr:uid="{00000000-0006-0000-0700-00001D000000}">
      <text>
        <r>
          <rPr>
            <sz val="10"/>
            <rFont val="Arial"/>
            <family val="2"/>
          </rPr>
          <t>Fuente: FO.xlsx, hoja 'Participaciones Societarias'. Texto original: 'Verificar en fuente'. Provisorio — pendiente de verificación formal (escritura/registro de accionistas).</t>
        </r>
      </text>
    </comment>
    <comment ref="C34" authorId="0" shapeId="0" xr:uid="{00000000-0006-0000-0700-00001E000000}">
      <text>
        <r>
          <rPr>
            <sz val="10"/>
            <rFont val="Arial"/>
            <family val="2"/>
          </rPr>
          <t>Fuente: FO.xlsx, hoja 'Participaciones Societarias'. Texto original: 'Verificar en fuente'. Provisorio — pendiente de verificación formal (escritura/registro de accionistas).</t>
        </r>
      </text>
    </comment>
    <comment ref="C35" authorId="0" shapeId="0" xr:uid="{00000000-0006-0000-0700-00001F000000}">
      <text>
        <r>
          <rPr>
            <sz val="10"/>
            <rFont val="Arial"/>
            <family val="2"/>
          </rPr>
          <t>Fuente: FO.xlsx, hoja 'Participaciones Societarias'. Texto original: 'Verificar en fuente'. Provisorio — pendiente de verificación formal (escritura/registro de accionistas).</t>
        </r>
      </text>
    </comment>
    <comment ref="C36" authorId="0" shapeId="0" xr:uid="{00000000-0006-0000-0700-000020000000}">
      <text>
        <r>
          <rPr>
            <sz val="10"/>
            <rFont val="Arial"/>
            <family val="2"/>
          </rPr>
          <t>Fuente: FO.xlsx, hoja 'Participaciones Societarias'. Texto original: 'Verificar en fuente'. Provisorio — pendiente de verificación formal (escritura/registro de accionistas).</t>
        </r>
      </text>
    </comment>
    <comment ref="C37" authorId="0" shapeId="0" xr:uid="{00000000-0006-0000-0700-000021000000}">
      <text>
        <r>
          <rPr>
            <sz val="10"/>
            <rFont val="Arial"/>
            <family val="2"/>
          </rPr>
          <t>Fuente: FO.xlsx, hoja 'Participaciones Societarias'. Texto original: '100%'. Provisorio — pendiente de verificación formal (escritura/registro de accionistas).</t>
        </r>
      </text>
    </comment>
    <comment ref="C38" authorId="0" shapeId="0" xr:uid="{00000000-0006-0000-0700-000022000000}">
      <text>
        <r>
          <rPr>
            <sz val="10"/>
            <rFont val="Arial"/>
            <family val="2"/>
          </rPr>
          <t>Fuente: FO.xlsx, hoja 'Participaciones Societarias'. Texto original: '19% (dato entregado por el cliente)'. Provisorio — pendiente de verificación formal (escritura/registro de accionistas).</t>
        </r>
      </text>
    </comment>
    <comment ref="D38" authorId="0" shapeId="0" xr:uid="{00000000-0006-0000-0700-000023000000}">
      <text>
        <r>
          <rPr>
            <sz val="10"/>
            <rFont val="Arial"/>
            <family val="2"/>
          </rPr>
          <t>Corregido por el cliente (08-2026): confirmó que $6.500.000.000 es el valor de SU 19% (no del 100% de la empresa). Patrimonio contable implícito back-calculado = $6.500.000.000 / 19%.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00000000-0006-0000-0800-000001000000}">
      <text>
        <r>
          <rPr>
            <sz val="10"/>
            <rFont val="Arial"/>
            <family val="2"/>
          </rPr>
          <t>Fuente: Flujo de Caja, hoja 'Patentes depuradas'. Deuda a enero 2025.</t>
        </r>
      </text>
    </comment>
    <comment ref="D6" authorId="0" shapeId="0" xr:uid="{00000000-0006-0000-0800-000002000000}">
      <text>
        <r>
          <rPr>
            <sz val="10"/>
            <rFont val="Arial"/>
            <family val="2"/>
          </rPr>
          <t>Fuente: Flujo de Caja, hoja 'Patentes depuradas'. Deuda a enero 2025.</t>
        </r>
      </text>
    </comment>
    <comment ref="D7" authorId="0" shapeId="0" xr:uid="{00000000-0006-0000-0800-000003000000}">
      <text>
        <r>
          <rPr>
            <sz val="10"/>
            <rFont val="Arial"/>
            <family val="2"/>
          </rPr>
          <t>Fuente: Flujo de Caja, hoja 'Patentes depuradas'. Deuda a enero 2025.</t>
        </r>
      </text>
    </comment>
    <comment ref="D8" authorId="0" shapeId="0" xr:uid="{00000000-0006-0000-0800-000004000000}">
      <text>
        <r>
          <rPr>
            <sz val="10"/>
            <rFont val="Arial"/>
            <family val="2"/>
          </rPr>
          <t>Fuente: Flujo de Caja, hoja 'Patentes depuradas'. Deuda a enero 2025.</t>
        </r>
      </text>
    </comment>
    <comment ref="D9" authorId="0" shapeId="0" xr:uid="{00000000-0006-0000-0800-000005000000}">
      <text>
        <r>
          <rPr>
            <sz val="10"/>
            <rFont val="Arial"/>
            <family val="2"/>
          </rPr>
          <t>Fuente: Flujo de Caja, hoja 'Patentes depuradas'. Deuda a enero 2025.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900-000001000000}">
      <text>
        <r>
          <rPr>
            <sz val="10"/>
            <rFont val="Arial"/>
            <family val="2"/>
          </rPr>
          <t>Fuente: Flujo_de_Caja...OCTUBRE_2025.xlsx, hoja 'Flujo General', bloque de Activos, columna oct-2025.</t>
        </r>
      </text>
    </comment>
    <comment ref="B6" authorId="0" shapeId="0" xr:uid="{00000000-0006-0000-0900-000002000000}">
      <text>
        <r>
          <rPr>
            <sz val="10"/>
            <rFont val="Arial"/>
            <family val="2"/>
          </rPr>
          <t>Fuente: Flujo_de_Caja...OCTUBRE_2025.xlsx, hoja 'Flujo General', bloque de Activos, columna oct-2025.</t>
        </r>
      </text>
    </comment>
    <comment ref="B7" authorId="0" shapeId="0" xr:uid="{00000000-0006-0000-0900-000003000000}">
      <text>
        <r>
          <rPr>
            <sz val="10"/>
            <rFont val="Arial"/>
            <family val="2"/>
          </rPr>
          <t>Fuente: Flujo_de_Caja...OCTUBRE_2025.xlsx, hoja 'Flujo General', bloque de Activos, columna oct-2025.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Armas (Chile)</author>
    <author>Unknown Author</author>
  </authors>
  <commentList>
    <comment ref="A11" authorId="0" shapeId="0" xr:uid="{E2F76C2A-1305-45F7-AC2A-C62DA64E4C96}">
      <text>
        <r>
          <rPr>
            <b/>
            <sz val="9"/>
            <color indexed="81"/>
            <rFont val="Tahoma"/>
            <family val="2"/>
          </rPr>
          <t>Tomas Armas (Chile):</t>
        </r>
        <r>
          <rPr>
            <sz val="9"/>
            <color indexed="81"/>
            <rFont val="Tahoma"/>
            <family val="2"/>
          </rPr>
          <t xml:space="preserve">
por 32 meses se recibe el doble
</t>
        </r>
      </text>
    </comment>
    <comment ref="B24" authorId="1" shapeId="0" xr:uid="{00000000-0006-0000-0A00-000001000000}">
      <text>
        <r>
          <rPr>
            <sz val="10"/>
            <rFont val="Arial"/>
            <family val="2"/>
          </rPr>
          <t>Prorrateado (08-2026, instrucción del cliente): el modelo original traía este ítem como 2 pagos semestrales dentro de esta ventana (feb-2027 $52,636,387 y jul-2027 $53,036,387), sin proyección más allá de jul-2027. Se tomó (suma de ambos pagos)/12 = $8,806,064/mes y se aplicó parejo a los 60 meses.</t>
        </r>
      </text>
    </comment>
    <comment ref="B83" authorId="1" shapeId="0" xr:uid="{00000000-0006-0000-0A00-000002000000}">
      <text>
        <r>
          <rPr>
            <sz val="10"/>
            <rFont val="Arial"/>
            <family val="2"/>
          </rPr>
          <t>Fuente: Flujo General, fila 'SALDO ACUMULADO'. Se toma directamente del modelo porque depende del saldo arrastrado desde marzo-2025, no reconstruible solo con los meses de esta ventana.</t>
        </r>
      </text>
    </comment>
    <comment ref="B89" authorId="1" shapeId="0" xr:uid="{00000000-0006-0000-0A00-000003000000}">
      <text>
        <r>
          <rPr>
            <sz val="10"/>
            <rFont val="Arial"/>
            <family val="2"/>
          </rPr>
          <t>Fuente: Flujo General — filas TOTAL INGRESOS / TOTAL EGRESOS / SALDO / SALDO ACUMULADO / TOTAL ACTIVOS, columna oct del año correspondiente.</t>
        </r>
      </text>
    </comment>
    <comment ref="C89" authorId="1" shapeId="0" xr:uid="{00000000-0006-0000-0A00-000007000000}">
      <text>
        <r>
          <rPr>
            <sz val="10"/>
            <rFont val="Arial"/>
            <family val="2"/>
          </rPr>
          <t>Fuente: Flujo General — filas TOTAL INGRESOS / TOTAL EGRESOS / SALDO / SALDO ACUMULADO / TOTAL ACTIVOS, columna oct del año correspondiente.</t>
        </r>
      </text>
    </comment>
    <comment ref="D89" authorId="1" shapeId="0" xr:uid="{00000000-0006-0000-0A00-00000B000000}">
      <text>
        <r>
          <rPr>
            <sz val="10"/>
            <rFont val="Arial"/>
            <family val="2"/>
          </rPr>
          <t>Fuente: Flujo General — filas TOTAL INGRESOS / TOTAL EGRESOS / SALDO / SALDO ACUMULADO / TOTAL ACTIVOS, columna oct del año correspondiente.</t>
        </r>
      </text>
    </comment>
    <comment ref="E89" authorId="1" shapeId="0" xr:uid="{00000000-0006-0000-0A00-00000F000000}">
      <text>
        <r>
          <rPr>
            <sz val="10"/>
            <rFont val="Arial"/>
            <family val="2"/>
          </rPr>
          <t>Fuente: Flujo General — filas TOTAL INGRESOS / TOTAL EGRESOS / SALDO / SALDO ACUMULADO / TOTAL ACTIVOS, columna oct del año correspondiente.</t>
        </r>
      </text>
    </comment>
    <comment ref="F89" authorId="1" shapeId="0" xr:uid="{00000000-0006-0000-0A00-000013000000}">
      <text>
        <r>
          <rPr>
            <sz val="10"/>
            <rFont val="Arial"/>
            <family val="2"/>
          </rPr>
          <t>Fuente: Flujo General — filas TOTAL INGRESOS / TOTAL EGRESOS / SALDO / SALDO ACUMULADO / TOTAL ACTIVOS, columna oct del año correspondiente.</t>
        </r>
      </text>
    </comment>
    <comment ref="B90" authorId="1" shapeId="0" xr:uid="{00000000-0006-0000-0A00-000004000000}">
      <text>
        <r>
          <rPr>
            <sz val="10"/>
            <rFont val="Arial"/>
            <family val="2"/>
          </rPr>
          <t>Fuente: Flujo General — filas TOTAL INGRESOS / TOTAL EGRESOS / SALDO / SALDO ACUMULADO / TOTAL ACTIVOS, columna oct del año correspondiente.</t>
        </r>
      </text>
    </comment>
    <comment ref="C90" authorId="1" shapeId="0" xr:uid="{00000000-0006-0000-0A00-000008000000}">
      <text>
        <r>
          <rPr>
            <sz val="10"/>
            <rFont val="Arial"/>
            <family val="2"/>
          </rPr>
          <t>Fuente: Flujo General — filas TOTAL INGRESOS / TOTAL EGRESOS / SALDO / SALDO ACUMULADO / TOTAL ACTIVOS, columna oct del año correspondiente.</t>
        </r>
      </text>
    </comment>
    <comment ref="D90" authorId="1" shapeId="0" xr:uid="{00000000-0006-0000-0A00-00000C000000}">
      <text>
        <r>
          <rPr>
            <sz val="10"/>
            <rFont val="Arial"/>
            <family val="2"/>
          </rPr>
          <t>Fuente: Flujo General — filas TOTAL INGRESOS / TOTAL EGRESOS / SALDO / SALDO ACUMULADO / TOTAL ACTIVOS, columna oct del año correspondiente.</t>
        </r>
      </text>
    </comment>
    <comment ref="E90" authorId="1" shapeId="0" xr:uid="{00000000-0006-0000-0A00-000010000000}">
      <text>
        <r>
          <rPr>
            <sz val="10"/>
            <rFont val="Arial"/>
            <family val="2"/>
          </rPr>
          <t>Fuente: Flujo General — filas TOTAL INGRESOS / TOTAL EGRESOS / SALDO / SALDO ACUMULADO / TOTAL ACTIVOS, columna oct del año correspondiente.</t>
        </r>
      </text>
    </comment>
    <comment ref="F90" authorId="1" shapeId="0" xr:uid="{00000000-0006-0000-0A00-000014000000}">
      <text>
        <r>
          <rPr>
            <sz val="10"/>
            <rFont val="Arial"/>
            <family val="2"/>
          </rPr>
          <t>Fuente: Flujo General — filas TOTAL INGRESOS / TOTAL EGRESOS / SALDO / SALDO ACUMULADO / TOTAL ACTIVOS, columna oct del año correspondiente.</t>
        </r>
      </text>
    </comment>
    <comment ref="B91" authorId="1" shapeId="0" xr:uid="{00000000-0006-0000-0A00-000005000000}">
      <text>
        <r>
          <rPr>
            <sz val="10"/>
            <rFont val="Arial"/>
            <family val="2"/>
          </rPr>
          <t>Fuente: Flujo General — filas TOTAL INGRESOS / TOTAL EGRESOS / SALDO / SALDO ACUMULADO / TOTAL ACTIVOS, columna oct del año correspondiente.</t>
        </r>
      </text>
    </comment>
    <comment ref="C91" authorId="1" shapeId="0" xr:uid="{00000000-0006-0000-0A00-000009000000}">
      <text>
        <r>
          <rPr>
            <sz val="10"/>
            <rFont val="Arial"/>
            <family val="2"/>
          </rPr>
          <t>Fuente: Flujo General — filas TOTAL INGRESOS / TOTAL EGRESOS / SALDO / SALDO ACUMULADO / TOTAL ACTIVOS, columna oct del año correspondiente.</t>
        </r>
      </text>
    </comment>
    <comment ref="D91" authorId="1" shapeId="0" xr:uid="{00000000-0006-0000-0A00-00000D000000}">
      <text>
        <r>
          <rPr>
            <sz val="10"/>
            <rFont val="Arial"/>
            <family val="2"/>
          </rPr>
          <t>Fuente: Flujo General — filas TOTAL INGRESOS / TOTAL EGRESOS / SALDO / SALDO ACUMULADO / TOTAL ACTIVOS, columna oct del año correspondiente.</t>
        </r>
      </text>
    </comment>
    <comment ref="E91" authorId="1" shapeId="0" xr:uid="{00000000-0006-0000-0A00-000011000000}">
      <text>
        <r>
          <rPr>
            <sz val="10"/>
            <rFont val="Arial"/>
            <family val="2"/>
          </rPr>
          <t>Fuente: Flujo General — filas TOTAL INGRESOS / TOTAL EGRESOS / SALDO / SALDO ACUMULADO / TOTAL ACTIVOS, columna oct del año correspondiente.</t>
        </r>
      </text>
    </comment>
    <comment ref="F91" authorId="1" shapeId="0" xr:uid="{00000000-0006-0000-0A00-000015000000}">
      <text>
        <r>
          <rPr>
            <sz val="10"/>
            <rFont val="Arial"/>
            <family val="2"/>
          </rPr>
          <t>Fuente: Flujo General — filas TOTAL INGRESOS / TOTAL EGRESOS / SALDO / SALDO ACUMULADO / TOTAL ACTIVOS, columna oct del año correspondiente.</t>
        </r>
      </text>
    </comment>
    <comment ref="B92" authorId="1" shapeId="0" xr:uid="{00000000-0006-0000-0A00-000006000000}">
      <text>
        <r>
          <rPr>
            <sz val="10"/>
            <rFont val="Arial"/>
            <family val="2"/>
          </rPr>
          <t>Fuente: Flujo General — filas TOTAL INGRESOS / TOTAL EGRESOS / SALDO / SALDO ACUMULADO / TOTAL ACTIVOS, columna oct del año correspondiente.</t>
        </r>
      </text>
    </comment>
    <comment ref="C92" authorId="1" shapeId="0" xr:uid="{00000000-0006-0000-0A00-00000A000000}">
      <text>
        <r>
          <rPr>
            <sz val="10"/>
            <rFont val="Arial"/>
            <family val="2"/>
          </rPr>
          <t>Fuente: Flujo General — filas TOTAL INGRESOS / TOTAL EGRESOS / SALDO / SALDO ACUMULADO / TOTAL ACTIVOS, columna oct del año correspondiente.</t>
        </r>
      </text>
    </comment>
    <comment ref="D92" authorId="1" shapeId="0" xr:uid="{00000000-0006-0000-0A00-00000E000000}">
      <text>
        <r>
          <rPr>
            <sz val="10"/>
            <rFont val="Arial"/>
            <family val="2"/>
          </rPr>
          <t>Fuente: Flujo General — filas TOTAL INGRESOS / TOTAL EGRESOS / SALDO / SALDO ACUMULADO / TOTAL ACTIVOS, columna oct del año correspondiente.</t>
        </r>
      </text>
    </comment>
    <comment ref="E92" authorId="1" shapeId="0" xr:uid="{00000000-0006-0000-0A00-000012000000}">
      <text>
        <r>
          <rPr>
            <sz val="10"/>
            <rFont val="Arial"/>
            <family val="2"/>
          </rPr>
          <t>Fuente: Flujo General — filas TOTAL INGRESOS / TOTAL EGRESOS / SALDO / SALDO ACUMULADO / TOTAL ACTIVOS, columna oct del año correspondiente.</t>
        </r>
      </text>
    </comment>
    <comment ref="F92" authorId="1" shapeId="0" xr:uid="{00000000-0006-0000-0A00-000016000000}">
      <text>
        <r>
          <rPr>
            <sz val="10"/>
            <rFont val="Arial"/>
            <family val="2"/>
          </rPr>
          <t>Fuente: Flujo General — filas TOTAL INGRESOS / TOTAL EGRESOS / SALDO / SALDO ACUMULADO / TOTAL ACTIVOS, columna oct del año correspondiente.</t>
        </r>
      </text>
    </comment>
  </commentList>
</comments>
</file>

<file path=xl/sharedStrings.xml><?xml version="1.0" encoding="utf-8"?>
<sst xmlns="http://schemas.openxmlformats.org/spreadsheetml/2006/main" count="1010" uniqueCount="695">
  <si>
    <t>FAMILY OFFICE — ARCHIVO MASTER CONSOLIDADO</t>
  </si>
  <si>
    <t>Grupo familiar Cristián Armas Morel — preparado a partir de FO.xlsx (jul-2026) y Flujo de Caja (oct-2025)</t>
  </si>
  <si>
    <t>Perímetro consolidado (decisión del cliente)</t>
  </si>
  <si>
    <t>Núcleo familiar + hijos: Cristián Armas Morel, Paula Alvear Román, Catalina, Vicente y Tomás Armas Alvear.</t>
  </si>
  <si>
    <t>Personas vinculadas por sociedad pero fuera del núcleo (yernos/socios externos) se listan aparte en 'Perimetro_Familiar' y no suman al patrimonio neto.</t>
  </si>
  <si>
    <t>Convenciones de color</t>
  </si>
  <si>
    <t>Azul = dato de entrada (hardcoded), tomado de un archivo fuente — ver comentario en la celda para la referencia exacta.</t>
  </si>
  <si>
    <t>Negro = fórmula calculada dentro del archivo.</t>
  </si>
  <si>
    <t>Verde = fórmula que enlaza a otra pestaña de este mismo archivo.</t>
  </si>
  <si>
    <t>Amarillo = campo pendiente de completar o supuesto clave que el family office debe validar/ajustar.</t>
  </si>
  <si>
    <t>Decisiones de diseño acordadas con el cliente</t>
  </si>
  <si>
    <t>1) Bienes raíces: se mantienen dos bases en paralelo. El Avalúo Fiscal (SII) alimenta el cálculo de contribuciones en el Flujo de Caja. La Tasación Comercial alimenta la valorización del activo en el Balance; mientras no esté completa, el Balance usa el Avalúo Fiscal como proxy temporal (marcado explícitamente).</t>
  </si>
  <si>
    <t>2) Empresas: se estima el equity value de las 33 sociedades usando el % de participación 'a verificar' como provisorio, multiplicado por el patrimonio contable de cada una. El patrimonio contable no existe aún en ninguno de los dos archivos fuente — quedó como celda de entrada en amarillo, en $0 hasta cargar EEFF reales.</t>
  </si>
  <si>
    <t>3) Formato: un solo Excel con pestañas normalizadas, apto para ser leído por pandas/openpyxl desde el dashboard en Codex.</t>
  </si>
  <si>
    <t>4) Perímetro: núcleo + hijos (5 personas).</t>
  </si>
  <si>
    <t>5) Pasivos: las patentes comerciales morosas (monto cierto y exigible, ~CLP 11,7 MM) se incorporan como pasivo formal. Las deudas personales en disputa (Gamboa, Fidel Oteiza, y Luna que sigue 'en proceso penal') NO son pasivos — son cuentas por cobrar/activos contingentes de la familia, y se excluyen del Patrimonio Neto principal, mostradas aparte en 'Activos_Contingentes'.</t>
  </si>
  <si>
    <t>Banderas de calidad de datos detectadas (pendientes de resolver con el cliente)</t>
  </si>
  <si>
    <t>• Los dos archivos fuente usan escalas distintas: FO.xlsx está en pesos absolutos; Flujo de Caja está en MILES de pesos. Ya se normalizó todo a pesos absolutos en este archivo master.</t>
  </si>
  <si>
    <t>• FO.xlsx capturaba solo 6 cuentas de liquidez y 17 líneas de inversión (CLP 421,9 MM); el Flujo de Caja rastrea ~55 posiciones adicionales (cuentas corrientes y fondos mutuos de CAM, PAR y sociedades) que no estaban en FO.xlsx. Se incorporaron aquí; falta que el family office concilie ambas fuentes y determine cuál es la vigente por cuenta.</t>
  </si>
  <si>
    <t>• 'FM Santander DL' (~CLP 835 millones, cuenta de fondo mutuo) y 'Cta Cte Santander DL' no tienen titular identificado ('DL') — es la mayor posición sin dueño confirmado del archivo. Prioridad alta para aclarar.</t>
  </si>
  <si>
    <t>• 5 de las 33 empresas de FO.xlsx no tienen % de participación conocido en absoluto (solo 'Verificar en fuente' sin ni siquiera un valor provisorio); las demás tienen % provisorios sin confirmar.</t>
  </si>
  <si>
    <t>• Varias empresas con deuda de patentes (Interbodegas SPA, Inversiones Meme Ltda, Inmobiliaria Campar, etc.) no figuran en el listado de 33 empresas de FO.xlsx — sugiere que el registro societario de FO.xlsx está incompleto.</t>
  </si>
  <si>
    <t>• La columna 'Tasación Comercial Online' de las 26 propiedades está 100% vacía.</t>
  </si>
  <si>
    <t>• El Flujo de Caja proyecta un Saldo Acumulado negativo relevante en ciertos meses (ej. cae a aprox. -CLP 1.443 millones hacia oct-2026 y vuelve a caer en oct-2035) — requiere revisión: puede ser un compromiso real de caja (compra de propiedad, dividendo) o un artefacto del modelo.</t>
  </si>
  <si>
    <t>Mapa de pestañas</t>
  </si>
  <si>
    <t>Supuestos — tasas, inflación, tipo de cambio y horizontes usados en las proyecciones (editable).</t>
  </si>
  <si>
    <t>Perimetro_Familiar — personas consolidadas y vinculación societaria.</t>
  </si>
  <si>
    <t>Liquidez — cuentas corrientes, efectivo, vales vista (fuente principal: Flujo de Caja; bloque FO.xlsx como referencia).</t>
  </si>
  <si>
    <t>Inversiones_Financieras — fondos mutuos, acciones, renta fija, cripto (misma lógica de fuente).</t>
  </si>
  <si>
    <t>Otras_Partidas — provisiones, cuentas por cobrar operacionales y partidas menores.</t>
  </si>
  <si>
    <t>Bienes_Raices — 26 propiedades con Avalúo Fiscal y Tasación Comercial.</t>
  </si>
  <si>
    <t>Empresas — 33 sociedades vinculadas, % participación y equity value estimado.</t>
  </si>
  <si>
    <t>Pasivos — patentes comerciales morosas.</t>
  </si>
  <si>
    <t>Activos_Contingentes — cuentas por cobrar en disputa/litigio, fuera del Patrimonio Neto principal.</t>
  </si>
  <si>
    <t>Flujo_Caja — ingresos y egresos mensuales (detalle oct-2025) y proyección anual a 1, 5 y 10 años.</t>
  </si>
  <si>
    <t>Balance_Consolidado — Total Activos, Total Pasivos y Patrimonio Neto (vista dura y ajustada por contingencias).</t>
  </si>
  <si>
    <t>KPIs — rentabilidad, riesgo y balance del portafolio a 1, 5 y 10 años.</t>
  </si>
  <si>
    <t>Actualización 08-2026 (instrucciones del cliente, turno posterior a la v1)</t>
  </si>
  <si>
    <t>• Empresas: se agregó 'Empresas Armas S.A. (EASA)' con 19% de participación y patrimonio contable de $6.500.000.000, entregados por el cliente. Supuesto de interpretación: el monto corresponde al 100% de la empresa (no directamente al valor de la participación) — el Equity Value resultante es %×patrimonio = $1.235.000.000. Confirmar si la interpretación es correcta. RUT pendiente.</t>
  </si>
  <si>
    <t>• Bienes Raíces: se agregó 'Casa Santuario' (50.000 UF x valor UF del 08-08-2026 = $2.042.239.500, fuente Banco Central de Chile) y 'Local EASA' (participación familiar 40%; valor = arriendo mensual $9.000.000 x 12 ÷ tasa de capitalización 5,5% ≈ $1.963.636.364, confirmado por el cliente).</t>
  </si>
  <si>
    <t>• Bienes Raíces: se agregó columna '% Participación' y 'Valor Atribuible' para poder registrar activos en copropiedad (como el Local EASA, 40%) sin sobreestimar el patrimonio. Todas las propiedades preexistentes quedaron en 100% por defecto — ajustar si alguna es en realidad copropiedad.</t>
  </si>
  <si>
    <t>• Bienes Raíces: la Tasación Comercial de las 26 propiedades originales ahora se calcula como Avalúo Fiscal x 2,35 (factor definido en Supuestos, instrucción del cliente) mientras no haya tasación real cargada.</t>
  </si>
  <si>
    <t>• Supuestos: se cargó el Valor UF ($40.844,79, Banco Central de Chile, 08-08-2026) y el nuevo Factor Tasación/Avalúo (2,35x).</t>
  </si>
  <si>
    <t>Preparar para: dashboard en vivo vía Codex (lectura directa de este archivo con pandas/openpyxl).</t>
  </si>
  <si>
    <t>SUPUESTOS Y PARÁMETROS DEL MODELO</t>
  </si>
  <si>
    <t>Parámetro</t>
  </si>
  <si>
    <t>Valor</t>
  </si>
  <si>
    <t>Nota / Fuente</t>
  </si>
  <si>
    <t>Fecha de corte — Balance patrimonial (FO.xlsx)</t>
  </si>
  <si>
    <t>17-07-2026</t>
  </si>
  <si>
    <t>Fecha declarada en FO.xlsx, hoja Resumen</t>
  </si>
  <si>
    <t>Fecha de corte — Flujo de Caja</t>
  </si>
  <si>
    <t>11-10-2025</t>
  </si>
  <si>
    <t>Nombre del archivo fuente</t>
  </si>
  <si>
    <t>Valor UF de referencia (CLP)</t>
  </si>
  <si>
    <t>Fuente: Banco Central de Chile, valor al 08-08-2026 (indicadoreschile.cl)</t>
  </si>
  <si>
    <t>Tipo de cambio USD/CLP de referencia</t>
  </si>
  <si>
    <t>PENDIENTE — cargar tipo de cambio a la fecha de corte</t>
  </si>
  <si>
    <t>Factor Tasación Comercial / Avalúo Fiscal (proxy temporal)</t>
  </si>
  <si>
    <t>Instrucción del cliente (08-2026): mientras no haya tasación real, Tasación Comercial = Avalúo Fiscal x este factor</t>
  </si>
  <si>
    <t>Inflación anual proyectada (UF)</t>
  </si>
  <si>
    <t>Supuesto referencial (3,0%) — ajustar según visión del family office</t>
  </si>
  <si>
    <t>Retorno esperado anual — Liquidez</t>
  </si>
  <si>
    <t>Supuesto referencial (0,5% real) — cuentas corrientes/efectivo</t>
  </si>
  <si>
    <t>Retorno esperado anual — Inversiones Financieras</t>
  </si>
  <si>
    <t>Supuesto referencial (4,5%) — mix renta fija/variable observado en cartera</t>
  </si>
  <si>
    <t>Retorno esperado anual — Bienes Raíces (plusvalía + arriendo neto)</t>
  </si>
  <si>
    <t>Supuesto referencial (3,0%) — típico para Santiago/Las Condes, ajustar con tasación real</t>
  </si>
  <si>
    <t>Retorno esperado anual — Empresas / Equity operativo</t>
  </si>
  <si>
    <t>Supuesto referencial (6,0%) — mayor riesgo/iliquidez, ajustar con EEFF reales</t>
  </si>
  <si>
    <t>Tasa de descuento (para VAN si se requiere)</t>
  </si>
  <si>
    <t>Supuesto referencial</t>
  </si>
  <si>
    <t>Horizonte KPI 1</t>
  </si>
  <si>
    <t>1 año</t>
  </si>
  <si>
    <t>Horizonte KPI 2</t>
  </si>
  <si>
    <t>5 años</t>
  </si>
  <si>
    <t>Horizonte KPI 3</t>
  </si>
  <si>
    <t>10 años</t>
  </si>
  <si>
    <t>PERÍMETRO FAMILIAR CONSOLIDADO</t>
  </si>
  <si>
    <t>Decisión del cliente: núcleo + hijos</t>
  </si>
  <si>
    <t>Persona</t>
  </si>
  <si>
    <t>RUT</t>
  </si>
  <si>
    <t>Rol</t>
  </si>
  <si>
    <t>Vinculación societaria</t>
  </si>
  <si>
    <t>Cristián Armas Morel</t>
  </si>
  <si>
    <t>8.383.601-6</t>
  </si>
  <si>
    <t>Cabeza de familia</t>
  </si>
  <si>
    <t>Vinculado a las 33 empresas (ver pestaña Empresas)</t>
  </si>
  <si>
    <t>Paula Alvear Román</t>
  </si>
  <si>
    <t>8.483.765-2</t>
  </si>
  <si>
    <t>Cónyuge</t>
  </si>
  <si>
    <t>Vinculada a 2 empresas: One Two One S.A., Asesorías e Inversiones Tromen Ltda</t>
  </si>
  <si>
    <t>Catalina Amalia Armas Alvear</t>
  </si>
  <si>
    <t>19.639.061-8</t>
  </si>
  <si>
    <t>Hija</t>
  </si>
  <si>
    <t>Vinculada a 5 empresas: Arbal, Gestora Condominios del Sur, NV SPA, Fractal, Gestora Fractal</t>
  </si>
  <si>
    <t>Vicente Armas Alvear</t>
  </si>
  <si>
    <t>20.755.870-2</t>
  </si>
  <si>
    <t>Hijo</t>
  </si>
  <si>
    <t>Vinculado a 5 empresas: Arbal, Gestora Condominios del Sur, NV SPA, Fractal, Gestora Fractal</t>
  </si>
  <si>
    <t>Tomás Armas Alvear</t>
  </si>
  <si>
    <t>19.244.820-4</t>
  </si>
  <si>
    <t>Fuera del perímetro (vinculados por sociedad, no consolidan)</t>
  </si>
  <si>
    <t>Nota</t>
  </si>
  <si>
    <t>Gerardo Balbontín Pérez</t>
  </si>
  <si>
    <t>19.245.356-9</t>
  </si>
  <si>
    <t>Vinculado por Arbal Constructora SPA — fuera del núcleo definido</t>
  </si>
  <si>
    <t>Andrés Gerardo Croquevielle Bustamante</t>
  </si>
  <si>
    <t>16.795.208-9</t>
  </si>
  <si>
    <t>Vinculado por Gestora Fractal SPA — fuera del núcleo definido</t>
  </si>
  <si>
    <t>Félix Javier Escudero Fernández</t>
  </si>
  <si>
    <t>17.082.540-3</t>
  </si>
  <si>
    <t>LIQUIDEZ</t>
  </si>
  <si>
    <t>Fuente principal: Flujo de Caja (detalle operacional, oct-2025). Bloque FO.xlsx (jul-2026) como referencia — NO se suma al total para evitar doble conteo.</t>
  </si>
  <si>
    <t>Cuenta / Plataforma</t>
  </si>
  <si>
    <t>Titular / Entidad</t>
  </si>
  <si>
    <t>Perímetro</t>
  </si>
  <si>
    <t>Monto (CLP)</t>
  </si>
  <si>
    <t>Cta Cte Banco Estado CAM</t>
  </si>
  <si>
    <t>Familia</t>
  </si>
  <si>
    <t>Cta Cte Banco Estado Paula</t>
  </si>
  <si>
    <t>Cta Cte Bipersonal BICE</t>
  </si>
  <si>
    <t>Cristián Armas Morel / Paula Alvear (cuenta conjunta)</t>
  </si>
  <si>
    <t>Cta Cte BICE Paula</t>
  </si>
  <si>
    <t>Cta Cte Falabella Carola</t>
  </si>
  <si>
    <t>Carola (fuera de núcleo familiar)</t>
  </si>
  <si>
    <t>Fuera</t>
  </si>
  <si>
    <t>Cta Cte Santander G3</t>
  </si>
  <si>
    <t>Inversiones y Rentas G3 SPA</t>
  </si>
  <si>
    <t>Empresa</t>
  </si>
  <si>
    <t>Cta Cte Consorcio G3</t>
  </si>
  <si>
    <t>Cta Cte BICE NV</t>
  </si>
  <si>
    <t>NV SPA</t>
  </si>
  <si>
    <t>Cta Cte Chile CAM 8470188801</t>
  </si>
  <si>
    <t>Cta Cte Chile Praga</t>
  </si>
  <si>
    <t>Praga S.A.</t>
  </si>
  <si>
    <t>Cta Cte Santander Cristián 1</t>
  </si>
  <si>
    <t>Cta Cte Santander Cristián 2</t>
  </si>
  <si>
    <t>Saldo Fondos por Rendir Lena</t>
  </si>
  <si>
    <t>Operacional (Lena - contabilidad)</t>
  </si>
  <si>
    <t>Cta Cte Fintual CAM</t>
  </si>
  <si>
    <t>Cta Mercado de Pago Cristián</t>
  </si>
  <si>
    <t>Cta Cte Falabella Paula</t>
  </si>
  <si>
    <t>Cta Cte Falabella Cristián</t>
  </si>
  <si>
    <t>Cta Cte Tenpo Cristián</t>
  </si>
  <si>
    <t>Cta Cte Santander DL</t>
  </si>
  <si>
    <t>Sin identificar ("DL") — verificar</t>
  </si>
  <si>
    <t>Cta Cte BICE Capellanía</t>
  </si>
  <si>
    <t>Capellanía Capacitación Ltda</t>
  </si>
  <si>
    <t>Cta Cte Chile Meme Ltda</t>
  </si>
  <si>
    <t>Inversiones Meme Ltda</t>
  </si>
  <si>
    <t>Cta Cte Estado Praga</t>
  </si>
  <si>
    <t>Cta Cte BICE Condominios del Sur</t>
  </si>
  <si>
    <t>Gestora Condominios del Sur SPA</t>
  </si>
  <si>
    <t>Efectivo</t>
  </si>
  <si>
    <t>Familia (caja)</t>
  </si>
  <si>
    <t>Cta Cte Design Apart</t>
  </si>
  <si>
    <t>Design Apart SPA</t>
  </si>
  <si>
    <t>Fondo por Rendir María José Gamboa (operación deptos)</t>
  </si>
  <si>
    <t>Operacional</t>
  </si>
  <si>
    <t>Vales Vista</t>
  </si>
  <si>
    <t>SUBTOTAL LIQUIDEZ (Flujo de Caja, perímetro completo)</t>
  </si>
  <si>
    <t>SUBTOTAL LIQUIDEZ (solo perímetro núcleo+hijos, excluye 'Fuera' y 'Empresa')</t>
  </si>
  <si>
    <t>REFERENCIA — FO.xlsx (jul-2026), no incluida en el subtotal de arriba</t>
  </si>
  <si>
    <t>Plataforma</t>
  </si>
  <si>
    <t>Titular</t>
  </si>
  <si>
    <t>Tenpo</t>
  </si>
  <si>
    <t>Mercado Pago</t>
  </si>
  <si>
    <t>Copec Pay</t>
  </si>
  <si>
    <t>Mach</t>
  </si>
  <si>
    <t>Cuenta RUT</t>
  </si>
  <si>
    <t>Fintual Reserva</t>
  </si>
  <si>
    <t>Total FO.xlsx (referencia)</t>
  </si>
  <si>
    <t>INVERSIONES FINANCIERAS</t>
  </si>
  <si>
    <t>Fuente principal: Flujo de Caja (oct-2025). Bloque FO.xlsx (jul-2026) como referencia — NO se suma al total.</t>
  </si>
  <si>
    <t>Instrumento</t>
  </si>
  <si>
    <t>Acciones Polo</t>
  </si>
  <si>
    <t>Custodia Club de Polo a nombre de Paula</t>
  </si>
  <si>
    <t>Bell Air</t>
  </si>
  <si>
    <t>Filial de NV en USA, administrada por Boris Buvinic</t>
  </si>
  <si>
    <t>Citify</t>
  </si>
  <si>
    <t>Acciones privadas - Citify.cl</t>
  </si>
  <si>
    <t>APV Cristián Habitat</t>
  </si>
  <si>
    <t>Ahorro previsional voluntario</t>
  </si>
  <si>
    <t>Casa Nuba</t>
  </si>
  <si>
    <t>NV SPA (filial NV Punta de Lobos)</t>
  </si>
  <si>
    <t>Discrepancia de magnitud vs. pestaña 'Resumen Inversiones' - verificar</t>
  </si>
  <si>
    <t>Capital Office</t>
  </si>
  <si>
    <t>Capital Office SPA</t>
  </si>
  <si>
    <t>Dólares BICE Paula</t>
  </si>
  <si>
    <t>Posición en USD</t>
  </si>
  <si>
    <t>Fraccional</t>
  </si>
  <si>
    <t>Inversión inmobiliaria fraccionada</t>
  </si>
  <si>
    <t>FM BICE Paula</t>
  </si>
  <si>
    <t>Fondo mutuo</t>
  </si>
  <si>
    <t>FM Banco Estado Cristián</t>
  </si>
  <si>
    <t>FM Banco Estado Paula</t>
  </si>
  <si>
    <t>FM BICE CAM</t>
  </si>
  <si>
    <t>FM Santander DL</t>
  </si>
  <si>
    <t>Sin identificar ("DL") — verificar (monto material)</t>
  </si>
  <si>
    <t>Pendiente</t>
  </si>
  <si>
    <t>Requiere identificación prioritaria antes de consolidar</t>
  </si>
  <si>
    <t>FM Falabella Carola</t>
  </si>
  <si>
    <t>FM Falabella Paula</t>
  </si>
  <si>
    <t>FM Santander G3</t>
  </si>
  <si>
    <t>BTG Paula</t>
  </si>
  <si>
    <t>BTG Cristián</t>
  </si>
  <si>
    <t>Vantrust Cristián</t>
  </si>
  <si>
    <t>Credicorp Paula</t>
  </si>
  <si>
    <t>Credicorp Cristián</t>
  </si>
  <si>
    <t>FM BICE Design</t>
  </si>
  <si>
    <t>FM NV BICE</t>
  </si>
  <si>
    <t>FM Santander Paula</t>
  </si>
  <si>
    <t>FM Santander Cristián</t>
  </si>
  <si>
    <t>FM Banchile Praga</t>
  </si>
  <si>
    <t>FM Security Paula (Claudio Sedán)</t>
  </si>
  <si>
    <t>Fondo mutuo, ejecutivo Claudio Sedán</t>
  </si>
  <si>
    <t>Cryptomarket Cristián</t>
  </si>
  <si>
    <t>Criptoactivos</t>
  </si>
  <si>
    <t>Saldo Habitat Fondo de Pensión Paula</t>
  </si>
  <si>
    <t>Previsional</t>
  </si>
  <si>
    <t>Cta Dólares C.Taverne Cristián</t>
  </si>
  <si>
    <t>USD</t>
  </si>
  <si>
    <t>Cta Dólares C.Taverne Paula</t>
  </si>
  <si>
    <t>Collins Park, Texas (USA)</t>
  </si>
  <si>
    <t>Cristián Armas Morel (asumido — confirmar titular)</t>
  </si>
  <si>
    <t>Fuente: dato entregado por el cliente (08-2026), no figuraba en FO.xlsx ni en el Flujo de Caja. USD 150.000 x $913.86 (Dólar Observado, Banco Central de Chile, 08-08-2026).</t>
  </si>
  <si>
    <t>SUBTOTAL INVERSIONES FINANCIERAS (Flujo de Caja, perímetro completo)</t>
  </si>
  <si>
    <t>SUBTOTAL INVERSIONES FINANCIERAS (solo perímetro núcleo+hijos)</t>
  </si>
  <si>
    <t>Institución / Instrumento</t>
  </si>
  <si>
    <t>BICE Inversiones — Renta Largo Plazo</t>
  </si>
  <si>
    <t>BICE Inversiones — Renta a Largo Plazo</t>
  </si>
  <si>
    <t>BICE Inversiones — Renta UF</t>
  </si>
  <si>
    <t>BICE Inversiones — Acciones Chile Activo</t>
  </si>
  <si>
    <t>AFP Habitat — Ahorro Previsional (Fondo de Pensión)</t>
  </si>
  <si>
    <t>BICE Digital — Acciones Chile Activo</t>
  </si>
  <si>
    <t>Banco Estado — Fondo Mutuo Conservador</t>
  </si>
  <si>
    <t>Banco Estado — Inversión (detalle pendiente)</t>
  </si>
  <si>
    <t>Fraccional — Inversión Inmobiliaria Fraccionada</t>
  </si>
  <si>
    <t>Banco BCI — Fondo Mutuo Gestión Dinámica Chile Serie Clásica</t>
  </si>
  <si>
    <t>Credicorp Capital — Inversión (detalle pendiente)</t>
  </si>
  <si>
    <t>Santander — Acciones Chilenas Serie Universal</t>
  </si>
  <si>
    <t>Santander — Tesorería Digital</t>
  </si>
  <si>
    <t>OTRAS PARTIDAS — PROVISIONES, CUENTAS POR COBRAR OPERACIONALES Y MENORES</t>
  </si>
  <si>
    <t>Fuente: Flujo de Caja, oct-2025 (miles → convertido a pesos). No forman parte del Patrimonio Neto principal salvo Cuentas por Cobrar operacionales, que sí se incluyen.</t>
  </si>
  <si>
    <t>Provisiones (fondos reservados — contra-activo)</t>
  </si>
  <si>
    <t>Concepto</t>
  </si>
  <si>
    <t>Provisión pago factoring Pedro Schain</t>
  </si>
  <si>
    <t>Provisión arreglos Casa Santuario</t>
  </si>
  <si>
    <t>Provisión de impuestos</t>
  </si>
  <si>
    <t>Provisión hospitalizaciones</t>
  </si>
  <si>
    <t>Subtotal — no incluida en Patrimonio Neto (memo)</t>
  </si>
  <si>
    <t>Cuentas por cobrar operacionales</t>
  </si>
  <si>
    <t>Cuentas por cobrar departamentos</t>
  </si>
  <si>
    <t>Meme por cobrar a Rodrigo Fuenzalida (arriendo Itaú Meme 40%)</t>
  </si>
  <si>
    <t>Pensiones por cobrar Paula y Cristián</t>
  </si>
  <si>
    <t>Saldo Francisca Velasco</t>
  </si>
  <si>
    <t>Seguro de cesantía Paula por cobrar</t>
  </si>
  <si>
    <t>Varios por cobrar</t>
  </si>
  <si>
    <t>Pagos anticipados, dividendos casa, etc.</t>
  </si>
  <si>
    <t>Subtotal — SÍ incluida en Activos</t>
  </si>
  <si>
    <t>Otros activos menores (puntos, mausoleo, etc.)</t>
  </si>
  <si>
    <t>Puntos Falabella Paula (Banco)</t>
  </si>
  <si>
    <t>Puntos Falabella Paula (CMR)</t>
  </si>
  <si>
    <t>Puntos Falabella Cristián (Banco)</t>
  </si>
  <si>
    <t>Puntos Falabella Carola (Banco)</t>
  </si>
  <si>
    <t>Matrimonios (provisión evento)</t>
  </si>
  <si>
    <t>Tumba Zapallar</t>
  </si>
  <si>
    <t>BIENES RAÍCES — 28 PROPIEDADES</t>
  </si>
  <si>
    <t>Avalúo Fiscal alimenta el cálculo de contribuciones (Flujo de Caja). Tasación Comercial alimenta el Balance. Mientras no haya tasación real, se usa como proxy: Avalúo Fiscal x factor (pestaña Supuestos, hoy 2,35x, instrucción del cliente 08-2026). 'Valor Atribuible' pondera por el % de participación de la familia en cada activo (por defecto 100%, salvo indicación contraria).</t>
  </si>
  <si>
    <t>ID</t>
  </si>
  <si>
    <t>Tipo</t>
  </si>
  <si>
    <t>Dirección</t>
  </si>
  <si>
    <t>Comuna</t>
  </si>
  <si>
    <t>Rol SII</t>
  </si>
  <si>
    <t>Sup. (m²)</t>
  </si>
  <si>
    <t>Avalúo Fiscal (CLP)</t>
  </si>
  <si>
    <t>Tasación Comercial (CLP)</t>
  </si>
  <si>
    <t>% Participación</t>
  </si>
  <si>
    <t>Valor Balance (CLP)</t>
  </si>
  <si>
    <t>Valor Atribuible (CLP)</t>
  </si>
  <si>
    <t>Fuente valor usado</t>
  </si>
  <si>
    <t>Departamento</t>
  </si>
  <si>
    <t>Apoquindo 6498, Unidad 702 (A)</t>
  </si>
  <si>
    <t>Las Condes</t>
  </si>
  <si>
    <t>1533-30</t>
  </si>
  <si>
    <t>Oficina</t>
  </si>
  <si>
    <t>Apoquindo 5701</t>
  </si>
  <si>
    <t>567-47</t>
  </si>
  <si>
    <t>Casa</t>
  </si>
  <si>
    <t>Warren Smith 32</t>
  </si>
  <si>
    <t>667-44</t>
  </si>
  <si>
    <t>Warren Smith 15</t>
  </si>
  <si>
    <t>683-1</t>
  </si>
  <si>
    <t>Rosario Norte 33</t>
  </si>
  <si>
    <t>715-58</t>
  </si>
  <si>
    <t>Rosario Norte 41</t>
  </si>
  <si>
    <t>715-72</t>
  </si>
  <si>
    <t>Las Condes 10465, Unidad Ofc 717 ps7 edificio</t>
  </si>
  <si>
    <t>2472-417</t>
  </si>
  <si>
    <t>Local Comercial</t>
  </si>
  <si>
    <t>Colón 5923, Unidad L 10</t>
  </si>
  <si>
    <t>726-78</t>
  </si>
  <si>
    <t>Colón 5911, Unidad L 12-A</t>
  </si>
  <si>
    <t>726-81</t>
  </si>
  <si>
    <t>La Capitanía 1014, Unidad L 16</t>
  </si>
  <si>
    <t>726-84</t>
  </si>
  <si>
    <t>JJ Prieto 4260, Unidad 208</t>
  </si>
  <si>
    <t>San Miguel</t>
  </si>
  <si>
    <t>3865-107</t>
  </si>
  <si>
    <t>JJ Prieto 4260, Unidad 308</t>
  </si>
  <si>
    <t>3865-123</t>
  </si>
  <si>
    <t>JJ Prieto 4260, Unidad 408</t>
  </si>
  <si>
    <t>3865-139</t>
  </si>
  <si>
    <t>Bodega</t>
  </si>
  <si>
    <t>Mario Kreutzberger 1520, Bod 71</t>
  </si>
  <si>
    <t>Santiago</t>
  </si>
  <si>
    <t>216-544</t>
  </si>
  <si>
    <t>Mario Kreutzberger 1520, Bod 78</t>
  </si>
  <si>
    <t>216-551</t>
  </si>
  <si>
    <t>Mario Kreutzberger 1520, Bod 79</t>
  </si>
  <si>
    <t>216-552</t>
  </si>
  <si>
    <t>Mario Kreutzberger 1520, Unidad 816A</t>
  </si>
  <si>
    <t>1216-110</t>
  </si>
  <si>
    <t>Mario Kreutzberger 1520, Unidad 2704Ab</t>
  </si>
  <si>
    <t>1216-711</t>
  </si>
  <si>
    <t>Mario Kreutzberger 1520, Unidad 2708A</t>
  </si>
  <si>
    <t>1216-374</t>
  </si>
  <si>
    <t>Mario Kreutzberger 1520, Unidad 2714B</t>
  </si>
  <si>
    <t>1216-719</t>
  </si>
  <si>
    <t>Mario Kreutzberger 1520, Unidad 2211B</t>
  </si>
  <si>
    <t>1216-661</t>
  </si>
  <si>
    <t>Mario Kreutzberger 1520, Unidad 2505B</t>
  </si>
  <si>
    <t>1216-690</t>
  </si>
  <si>
    <t>Mario Kreutzberger 1520, Unidad 2208A</t>
  </si>
  <si>
    <t>1216-309</t>
  </si>
  <si>
    <t>Mario Kreutzberger 1520, Unidad 2412B</t>
  </si>
  <si>
    <t>1216-684</t>
  </si>
  <si>
    <t>Mario Kreutzberger 1520, Unidad 911B</t>
  </si>
  <si>
    <t>1216-497</t>
  </si>
  <si>
    <t>Mario Kreutzberger 1520, Unidad 2308A</t>
  </si>
  <si>
    <t>1216-322</t>
  </si>
  <si>
    <t>Strip Center</t>
  </si>
  <si>
    <t>Strip Center Machalí (dirección pendiente de confirmar)</t>
  </si>
  <si>
    <t>Machalí</t>
  </si>
  <si>
    <t>TOTAL</t>
  </si>
  <si>
    <t>EMPRESAS Y PARTICIPACIONES SOCIETARIAS</t>
  </si>
  <si>
    <t>Decisión del cliente: estimar equity value con los % 'a verificar' como provisorios. Patrimonio contable no disponible en la mayoría de las empresas — celda de entrada en amarillo. EASA (fila nueva, 08-2026) sí trae % y valoración entregados por el cliente.</t>
  </si>
  <si>
    <t>% Participación (provisorio)</t>
  </si>
  <si>
    <t>Patrimonio Contable (CLP)</t>
  </si>
  <si>
    <t>Equity Value Estimado (CLP)</t>
  </si>
  <si>
    <t>76.076.775-1</t>
  </si>
  <si>
    <t>% sin ningún valor (ni provisorio)</t>
  </si>
  <si>
    <t>Inmobiliaria Miraflores Chillán SPA</t>
  </si>
  <si>
    <t>76.536.364-0</t>
  </si>
  <si>
    <t>Constructora de Viviendas Sociales SPA</t>
  </si>
  <si>
    <t>76.528.939-4</t>
  </si>
  <si>
    <t>Sociedad Importadora y Exportadora One Two One S.A.</t>
  </si>
  <si>
    <t>76.104.016-2</t>
  </si>
  <si>
    <t>Asesorías Inversiones y Eventos Cam SPA</t>
  </si>
  <si>
    <t>76.258.861-7</t>
  </si>
  <si>
    <t>Inmobiliaria Nueva Vida SPA</t>
  </si>
  <si>
    <t>76.440.017-8</t>
  </si>
  <si>
    <t>Inmobiliaria El Encanto de Santa Cruz SPA</t>
  </si>
  <si>
    <t>76.692.967-2</t>
  </si>
  <si>
    <t>Ainspecciona SPA</t>
  </si>
  <si>
    <t>78.362.551-2</t>
  </si>
  <si>
    <t>Inmobiliaria y Constructora Evolution SPA</t>
  </si>
  <si>
    <t>76.349.697-K</t>
  </si>
  <si>
    <t>Inversiones San Salvador SPA</t>
  </si>
  <si>
    <t>77.608.045-4</t>
  </si>
  <si>
    <t>Constructora Armas Mariategui SPA</t>
  </si>
  <si>
    <t>76.131.678-8</t>
  </si>
  <si>
    <t>Constructora Armas Serrano SPA</t>
  </si>
  <si>
    <t>76.134.683-0</t>
  </si>
  <si>
    <t>Consultora Gan Limitada</t>
  </si>
  <si>
    <t>76.693.129-4</t>
  </si>
  <si>
    <t>Asesorías e Inversiones Tromen Limitada</t>
  </si>
  <si>
    <t>77.362.530-1</t>
  </si>
  <si>
    <t>Dos Mas Dos S.A.</t>
  </si>
  <si>
    <t>76.065.942-8</t>
  </si>
  <si>
    <t>Inversiones y Rentas Aspid SPA</t>
  </si>
  <si>
    <t>76.656.130-6</t>
  </si>
  <si>
    <t>Constructora Armas San Francisco SPA</t>
  </si>
  <si>
    <t>76.131.684-2</t>
  </si>
  <si>
    <t>Constructora Armas Las Condes SPA</t>
  </si>
  <si>
    <t>76.123.575-3</t>
  </si>
  <si>
    <t>Arbal Constructora y Servicios de Marketing SPA</t>
  </si>
  <si>
    <t>77.194.209-1</t>
  </si>
  <si>
    <t>77.194.212-1</t>
  </si>
  <si>
    <t>Inversiones Gan SPA</t>
  </si>
  <si>
    <t>76.098.805-7</t>
  </si>
  <si>
    <t>Transportes Armas Limitada</t>
  </si>
  <si>
    <t>78.443.540-7</t>
  </si>
  <si>
    <t>76.118.628-0</t>
  </si>
  <si>
    <t>Fractal Constructora y Servicios de Marketing SPA</t>
  </si>
  <si>
    <t>77.371.647-1</t>
  </si>
  <si>
    <t>Inversiones Alborada SPA</t>
  </si>
  <si>
    <t>77.608.056-K</t>
  </si>
  <si>
    <t>Asesorías e Inversiones Akron SPA</t>
  </si>
  <si>
    <t>76.014.097-K</t>
  </si>
  <si>
    <t>Constructora Armas Cerro Colorado SPA</t>
  </si>
  <si>
    <t>76.131.676-1</t>
  </si>
  <si>
    <t>Inversiones San Benito SPA</t>
  </si>
  <si>
    <t>77.608.053-5</t>
  </si>
  <si>
    <t>Capellanía Capacitación Limitada</t>
  </si>
  <si>
    <t>76.162.368-0</t>
  </si>
  <si>
    <t>Gestora Fractal SPA</t>
  </si>
  <si>
    <t>77.371.646-3</t>
  </si>
  <si>
    <t>Constructora Armas Padre Mariano SPA</t>
  </si>
  <si>
    <t>76.131.682-6</t>
  </si>
  <si>
    <t>76.359.867-5</t>
  </si>
  <si>
    <t>Inmob Armas Irarrazaval Ltda</t>
  </si>
  <si>
    <t>76.803.240-8</t>
  </si>
  <si>
    <t>Empresas Armas S.A. (EASA)</t>
  </si>
  <si>
    <t>Pendiente de confirmar</t>
  </si>
  <si>
    <t>EASA (08-2026): RUT pendiente de confirmar. El cliente confirmó que $6.500.000.000 corresponde al valor de su 19% de participación.</t>
  </si>
  <si>
    <t>TOTAL EQUITY VALUE ESTIMADO (34 empresas)</t>
  </si>
  <si>
    <t>PASIVOS — PATENTES COMERCIALES MOROSAS</t>
  </si>
  <si>
    <t>Único pasivo formal identificado en las fuentes con monto cierto y exigible. Las deudas personales en disputa se tratan como Activos Contingentes (ver pestaña respectiva), no como pasivo.</t>
  </si>
  <si>
    <t>Deuda (CLP)</t>
  </si>
  <si>
    <t>76.409.354-2</t>
  </si>
  <si>
    <t>Interbodegas SPA</t>
  </si>
  <si>
    <t>Recoleta</t>
  </si>
  <si>
    <t>76.239.590-8</t>
  </si>
  <si>
    <t>76.379.167-K</t>
  </si>
  <si>
    <t>78.734.530-1</t>
  </si>
  <si>
    <t>Zapallar</t>
  </si>
  <si>
    <t>Nota: PRAGA S.A. figura con nota del archivo original: pago 28-12-2023 a Municipalidad de Zapallar aún no confirmado por el municipio.</t>
  </si>
  <si>
    <t>TOTAL PASIVOS</t>
  </si>
  <si>
    <t>Nota: otras 8 sociedades del registro de patentes no muestran deuda ('No registra deuda / no tiene patente') y no se incluyen arriba.</t>
  </si>
  <si>
    <t>Nota: varias de las empresas con deuda de patentes no figuran en el listado de 33 empresas de la pestaña 'Empresas' — registro societario incompleto, requiere conciliación.</t>
  </si>
  <si>
    <t>ACTIVOS CONTINGENTES — CUENTAS POR COBRAR EN DISPUTA / LITIGIO</t>
  </si>
  <si>
    <t>Corrección importante: en el archivo Flujo de Caja estas 3 líneas están dentro del bloque de ACTIVOS (fila 83, 'Total Activos'), es decir son montos que la familia podría recuperar — no deudas que la familia deba pagar. Se excluyen del Patrimonio Neto principal por su carácter incierto/judicial, y se muestran aparte para trazabilidad.</t>
  </si>
  <si>
    <t>Estado / Nota</t>
  </si>
  <si>
    <t>Deuda María José Gamboa</t>
  </si>
  <si>
    <t>Cuenta por cobrar en gestión de cobranza</t>
  </si>
  <si>
    <t>Deuda Luna</t>
  </si>
  <si>
    <t>En proceso penal — recuperación sujeta a resultado judicial</t>
  </si>
  <si>
    <t>Deuda Germán Fidel Oteiza</t>
  </si>
  <si>
    <t>Cuenta por cobrar</t>
  </si>
  <si>
    <t>TOTAL ACTIVOS CONTINGENTES (memo, fuera del Patrimonio Neto principal)</t>
  </si>
  <si>
    <t>FLUJO DE CAJA — DETALLE MENSUAL HORIZONTAL (AGO-26 A JUL-31, 60 MESES)</t>
  </si>
  <si>
    <t>Fuente: Flujo_de_Caja...OCTUBRE_2025.xlsx, hoja 'Flujo General' (miles → convertido a pesos). Ventana: desde el mes más cercano a hoy (ago-2026) hasta 5 años después (jul-2031). Todas las líneas de ingreso y costo del modelo original, mes a mes.</t>
  </si>
  <si>
    <t>ago-26</t>
  </si>
  <si>
    <t>sep-26</t>
  </si>
  <si>
    <t>oct-26</t>
  </si>
  <si>
    <t>nov-26</t>
  </si>
  <si>
    <t>dic-26</t>
  </si>
  <si>
    <t>ene-27</t>
  </si>
  <si>
    <t>feb-27</t>
  </si>
  <si>
    <t>mar-27</t>
  </si>
  <si>
    <t>abr-27</t>
  </si>
  <si>
    <t>may-27</t>
  </si>
  <si>
    <t>jun-27</t>
  </si>
  <si>
    <t>jul-27</t>
  </si>
  <si>
    <t>ago-27</t>
  </si>
  <si>
    <t>sep-27</t>
  </si>
  <si>
    <t>oct-27</t>
  </si>
  <si>
    <t>nov-27</t>
  </si>
  <si>
    <t>dic-27</t>
  </si>
  <si>
    <t>ene-28</t>
  </si>
  <si>
    <t>feb-28</t>
  </si>
  <si>
    <t>mar-28</t>
  </si>
  <si>
    <t>abr-28</t>
  </si>
  <si>
    <t>may-28</t>
  </si>
  <si>
    <t>jun-28</t>
  </si>
  <si>
    <t>jul-28</t>
  </si>
  <si>
    <t>ago-28</t>
  </si>
  <si>
    <t>sep-28</t>
  </si>
  <si>
    <t>oct-28</t>
  </si>
  <si>
    <t>nov-28</t>
  </si>
  <si>
    <t>dic-28</t>
  </si>
  <si>
    <t>ene-29</t>
  </si>
  <si>
    <t>feb-29</t>
  </si>
  <si>
    <t>mar-29</t>
  </si>
  <si>
    <t>abr-29</t>
  </si>
  <si>
    <t>may-29</t>
  </si>
  <si>
    <t>jun-29</t>
  </si>
  <si>
    <t>jul-29</t>
  </si>
  <si>
    <t>ago-29</t>
  </si>
  <si>
    <t>sep-29</t>
  </si>
  <si>
    <t>oct-29</t>
  </si>
  <si>
    <t>nov-29</t>
  </si>
  <si>
    <t>dic-29</t>
  </si>
  <si>
    <t>ene-30</t>
  </si>
  <si>
    <t>feb-30</t>
  </si>
  <si>
    <t>mar-30</t>
  </si>
  <si>
    <t>abr-30</t>
  </si>
  <si>
    <t>may-30</t>
  </si>
  <si>
    <t>jun-30</t>
  </si>
  <si>
    <t>jul-30</t>
  </si>
  <si>
    <t>ago-30</t>
  </si>
  <si>
    <t>sep-30</t>
  </si>
  <si>
    <t>oct-30</t>
  </si>
  <si>
    <t>nov-30</t>
  </si>
  <si>
    <t>dic-30</t>
  </si>
  <si>
    <t>ene-31</t>
  </si>
  <si>
    <t>feb-31</t>
  </si>
  <si>
    <t>mar-31</t>
  </si>
  <si>
    <t>abr-31</t>
  </si>
  <si>
    <t>may-31</t>
  </si>
  <si>
    <t>jun-31</t>
  </si>
  <si>
    <t>jul-31</t>
  </si>
  <si>
    <t>INGRESOS</t>
  </si>
  <si>
    <t>RETIROS EMPRESAS</t>
  </si>
  <si>
    <t>FIDEL OTEIZA 1841 DEPARTAMENTO 41 E</t>
  </si>
  <si>
    <t>ARRIENDOS PROPIEDADES CON GERMAN POR PRAGA</t>
  </si>
  <si>
    <t>PAGOS CAPITAL OFFICE</t>
  </si>
  <si>
    <t>OTROS INGRESOS</t>
  </si>
  <si>
    <t>ARRIENDOS BOULEBARD</t>
  </si>
  <si>
    <t>Efecto Inflacion</t>
  </si>
  <si>
    <t>TOTAL INGRESOS</t>
  </si>
  <si>
    <t>EGRESOS</t>
  </si>
  <si>
    <t>ADMINISTRACION PROPIEDADES</t>
  </si>
  <si>
    <t>AGUA</t>
  </si>
  <si>
    <t>NANAS</t>
  </si>
  <si>
    <t>ARREGLOS SANTUARIO PARA VENTA</t>
  </si>
  <si>
    <t>ARRIENDO DOS ESTACIONAMIENTOS LA LUMA</t>
  </si>
  <si>
    <t>BODEGA PASEO TAMARUGO</t>
  </si>
  <si>
    <t xml:space="preserve">CAROLA </t>
  </si>
  <si>
    <t>CELULARES</t>
  </si>
  <si>
    <t>PREPARACION CLASES CRISTIAN</t>
  </si>
  <si>
    <t>COMIDA</t>
  </si>
  <si>
    <t>COMPRA CASA O DEPARTAMENTO :)</t>
  </si>
  <si>
    <t>CONTRATOS PREVER O AZOCAR FALLECIMIENTO</t>
  </si>
  <si>
    <t>CONTRIBUCIONES CASA</t>
  </si>
  <si>
    <t>CONTRIBUCIONES NUEVA CASA</t>
  </si>
  <si>
    <t>CONTRIBUCIONES PICHILEMU</t>
  </si>
  <si>
    <t>CONTRIBUCIONES Y DERECHOS DE ASEO PROPIEDADES DE RENTA</t>
  </si>
  <si>
    <t>DIVIDENDOS CONSTANTINO</t>
  </si>
  <si>
    <t>DOCTORES</t>
  </si>
  <si>
    <t>GAS</t>
  </si>
  <si>
    <t>GASTOS CASA SANTUARIO PARA VENTA</t>
  </si>
  <si>
    <t>GASTOS COMUNES LA LUMA</t>
  </si>
  <si>
    <t>COMISIONES PROPIEDAES</t>
  </si>
  <si>
    <t>CONTABILIDAD BAKER</t>
  </si>
  <si>
    <t>GASTOS COMUNES Y ARREGLOS PROPIEDADES DE RENTA</t>
  </si>
  <si>
    <t>HOSPITALIZACIONES</t>
  </si>
  <si>
    <t>OTROS</t>
  </si>
  <si>
    <t>IMPUESTOS</t>
  </si>
  <si>
    <t>ISAPRES</t>
  </si>
  <si>
    <t>LUZ</t>
  </si>
  <si>
    <t>COSTO DE MATRIMONIOS TODO</t>
  </si>
  <si>
    <t>PAGO MENSUAL TUMBA ZAPALLAR CUOTAS Y MANTENCION</t>
  </si>
  <si>
    <t>VIAJES Y VACACIONES</t>
  </si>
  <si>
    <t>FARMACIA</t>
  </si>
  <si>
    <t>SEGUROS DE VIDA Y COMPLEMENTARIO CLINICA LAS CONDES</t>
  </si>
  <si>
    <t>TAGS</t>
  </si>
  <si>
    <t>TOTAL EGRESOS</t>
  </si>
  <si>
    <t>SALDO MENSUAL (Ingresos - Egresos)</t>
  </si>
  <si>
    <t>Saldo Acumulado (según modelo original)</t>
  </si>
  <si>
    <t>⚠ Revisar meses con Saldo Acumulado negativo (resaltados) antes de usar estas cifras en el dashboard — puede ser un compromiso de caja real o un artefacto del modelo original.</t>
  </si>
  <si>
    <t>RESUMEN ANUAL — MODELO 'FLUJO GENERAL' (oct de cada año, horizonte largo para KPIs a 10 años)</t>
  </si>
  <si>
    <t>Horizonte</t>
  </si>
  <si>
    <t>Total Ingresos</t>
  </si>
  <si>
    <t>Total Egresos</t>
  </si>
  <si>
    <t>Saldo Mensual</t>
  </si>
  <si>
    <t>Saldo Acumulado</t>
  </si>
  <si>
    <t>Activos Líquidos Totales (modelo)</t>
  </si>
  <si>
    <t>Año 0 (oct-2025, base)</t>
  </si>
  <si>
    <t>Año 1 (oct-2026)</t>
  </si>
  <si>
    <t>Año 5 (oct-2030)</t>
  </si>
  <si>
    <t>Año 10 (oct-2035)</t>
  </si>
  <si>
    <t>BALANCE CONSOLIDADO — GRUPO FAMILIAR ARMAS ALVEAR</t>
  </si>
  <si>
    <t>Perímetro: núcleo + hijos  ·  Todas las cifras enlazan a las pestañas de detalle (verde = fórmula entre pestañas)</t>
  </si>
  <si>
    <t>ACTIVOS</t>
  </si>
  <si>
    <t>Categoría</t>
  </si>
  <si>
    <t>% del Total</t>
  </si>
  <si>
    <t>Fuente</t>
  </si>
  <si>
    <t>Liquidez (perímetro familiar)</t>
  </si>
  <si>
    <t>Pestaña Liquidez</t>
  </si>
  <si>
    <t>Inversiones Financieras (perímetro familiar)</t>
  </si>
  <si>
    <t>Pestaña Inversiones_Financieras</t>
  </si>
  <si>
    <t>Cuentas por Cobrar operacionales</t>
  </si>
  <si>
    <t>Pestaña Otras_Partidas</t>
  </si>
  <si>
    <t>Otros activos menores</t>
  </si>
  <si>
    <t>Bienes Raíces (Valor Atribuible)</t>
  </si>
  <si>
    <t>Pestaña Bienes_Raices</t>
  </si>
  <si>
    <t>Empresas — Equity Value Estimado</t>
  </si>
  <si>
    <t>Pestaña Empresas</t>
  </si>
  <si>
    <t>TOTAL ACTIVOS</t>
  </si>
  <si>
    <t>PASIVOS</t>
  </si>
  <si>
    <t>Patentes comerciales morosas</t>
  </si>
  <si>
    <t>Pestaña Pasivos</t>
  </si>
  <si>
    <t>PATRIMONIO NETO</t>
  </si>
  <si>
    <t>PATRIMONIO NETO (Activos - Pasivos)</t>
  </si>
  <si>
    <t>Memo: Activos Contingentes (no incluidos arriba)</t>
  </si>
  <si>
    <t>PATRIMONIO NETO AJUSTADO POR CONTINGENCIAS (memo)</t>
  </si>
  <si>
    <t>DISTRIBUCIÓN DE ACTIVOS POR CLASE</t>
  </si>
  <si>
    <t>Clase de Activo</t>
  </si>
  <si>
    <t>Liquidez</t>
  </si>
  <si>
    <t>Inversiones Financieras</t>
  </si>
  <si>
    <t>Bienes Raíces</t>
  </si>
  <si>
    <t>Empresas (Equity)</t>
  </si>
  <si>
    <t>Otros Activos (CxC + menores)</t>
  </si>
  <si>
    <t>RENDIMIENTO ANUAL — POR CLASE DE ACTIVO</t>
  </si>
  <si>
    <t>Aún no hay serie histórica propia para calcular retorno realizado; se muestra el supuesto referencial de la pestaña Supuestos. Reemplazar por retorno observado cuando exista al menos 12 meses de valorización periódica.</t>
  </si>
  <si>
    <t>Retorno Anual (supuesto)</t>
  </si>
  <si>
    <t>Supuesto (referencial)</t>
  </si>
  <si>
    <t>Pestaña Supuestos — reemplazar por retorno histórico real</t>
  </si>
  <si>
    <t>Empresas (Equity operativo)</t>
  </si>
  <si>
    <t>Nota: Bienes Raíces usa Tasación Comercial cuando está disponible; hoy usa Avalúo Fiscal x factor como proxy en las propiedades sin tasación real. Empresas usa Equity Value = % provisorio × Patrimonio Contable — la mayoría aún en $0 por falta de EEFF. El Patrimonio Neto real es mayor a esta cifra una vez se complete esa información.</t>
  </si>
  <si>
    <t>KPIs — RENTABILIDAD, RIESGO Y BALANCE DEL PORTAFOLIO</t>
  </si>
  <si>
    <t>Horizontes: 1, 5 y 10 años. Combina el Balance_Consolidado (foto actual) con la proyección del modelo Flujo_Caja y los supuestos de retorno de la pestaña Supuestos.</t>
  </si>
  <si>
    <t>A. BALANCE Y ESTRUCTURA (foto actual)</t>
  </si>
  <si>
    <t>KPI</t>
  </si>
  <si>
    <t>Fórmula / Fuente</t>
  </si>
  <si>
    <t>Total Activos</t>
  </si>
  <si>
    <t>Balance_Consolidado</t>
  </si>
  <si>
    <t>Total Pasivos</t>
  </si>
  <si>
    <t>Patrimonio Neto</t>
  </si>
  <si>
    <t>Apalancamiento (Pasivos / Activos)</t>
  </si>
  <si>
    <t>Pasivos ÷ Activos — mientras más bajo, menor riesgo financiero</t>
  </si>
  <si>
    <t>Deuda / Patrimonio Neto</t>
  </si>
  <si>
    <t>Pasivos ÷ Patrimonio Neto</t>
  </si>
  <si>
    <t>% del patrimonio en Liquidez</t>
  </si>
  <si>
    <t>Liquidez ÷ Total Activos</t>
  </si>
  <si>
    <t>% del patrimonio en Bienes Raíces (concentración inmobiliaria)</t>
  </si>
  <si>
    <t>Bienes Raíces ÷ Total Activos — sobre 60-70% se considera alta concentración para un FO</t>
  </si>
  <si>
    <t>% del patrimonio en Empresas (equity operativo)</t>
  </si>
  <si>
    <t>Empresas ÷ Total Activos — subestimado hoy por falta de EEFF</t>
  </si>
  <si>
    <t>% del patrimonio en Inversiones Financieras líquidas</t>
  </si>
  <si>
    <t>Inversiones Financieras ÷ Total Activos</t>
  </si>
  <si>
    <t>Concentración — mayor propiedad individual</t>
  </si>
  <si>
    <t>Mayor Valor Atribuible de una sola propiedad ÷ Total Activos</t>
  </si>
  <si>
    <t>B. LIQUIDEZ Y COBERTURA DE FLUJO</t>
  </si>
  <si>
    <t>Cobertura de gasto mensual (Ingresos / Egresos, ago-26)</t>
  </si>
  <si>
    <t>Flujo_Caja — sobre 1,0x el flujo operacional cubre el gasto; bajo 1,0x se financia con activos</t>
  </si>
  <si>
    <t>Meses de gasto cubiertos por Liquidez pura</t>
  </si>
  <si>
    <t>Liquidez ÷ Egresos mensuales</t>
  </si>
  <si>
    <t>Peor Saldo Acumulado proyectado en los próximos 10 años</t>
  </si>
  <si>
    <t>Flujo_Caja, columna Saldo Acumulado — revisar causa si es negativo</t>
  </si>
  <si>
    <t>C. RENTABILIDAD Y CRECIMIENTO PROYECTADO — 1 / 5 / 10 AÑOS</t>
  </si>
  <si>
    <t>Patrimonio Neto proyectado (aplicando retorno esperado ponderado)</t>
  </si>
  <si>
    <t>Retorno ponderado por peso de cada clase de activo × tasas de Supuestos. Requiere que Supuestos B9:B12 estén completos.</t>
  </si>
  <si>
    <t>CAGR implícito del patrimonio (retorno ponderado de Supuestos)</t>
  </si>
  <si>
    <t>Ingresos operacionales proyectados (según modelo Flujo General)</t>
  </si>
  <si>
    <t>Egresos operacionales proyectados (según modelo Flujo General)</t>
  </si>
  <si>
    <t>D. RIESGO Y CONCENTRACIÓN</t>
  </si>
  <si>
    <t>Índice de concentración (HHI simplificado: suma de % al cuadrado por clase de activo)</t>
  </si>
  <si>
    <t>1,0 = un solo activo concentra el 100%; mientras más cerca de 0,25 (=1/4 clases), más diversificado</t>
  </si>
  <si>
    <t>Activos Contingentes / Patrimonio Neto (riesgo de sobreestimación si se excluyen)</t>
  </si>
  <si>
    <t>Activos_Contingentes ÷ Patrimonio Neto</t>
  </si>
  <si>
    <t>Pasivos identificados con dueño no confirmado (FM Santander "DL")</t>
  </si>
  <si>
    <t>Inversiones_Financieras — posición material sin titular confirmado, no ponderada en KPIs de riesgo hasta aclarar</t>
  </si>
  <si>
    <t>PENSIONES (UF)</t>
  </si>
  <si>
    <t xml:space="preserve">ARRIENDOS JJ 3 PRIETO </t>
  </si>
  <si>
    <t xml:space="preserve">ARRIENDOS MK 9 </t>
  </si>
  <si>
    <t>ARRIENDO BODEGAS Y ESTACIONAMIENTOS  MK 3B JJP 3E3B</t>
  </si>
  <si>
    <t>ARRIENDOS OFICINA LAS CONDES ESTORIL  (UF)</t>
  </si>
  <si>
    <t>ARRIENDOS CONSTANTINO 6</t>
  </si>
  <si>
    <t>SUELDO PAULA</t>
  </si>
  <si>
    <t>CLASES UNIVERSIDADES</t>
  </si>
  <si>
    <t>PAGOS MEME ARRIENDO A BANCO ITAU RODRIGO FUENZALIDA (UF)</t>
  </si>
  <si>
    <t>INTERESES INVERSIONES FINANCIERAS (**conectar a dividendos de renta variable resultante)</t>
  </si>
  <si>
    <t>ARRIENDOS PROPIEDADES CON GERMAN PERSONAL WARRENSMID 15 Y LOCALES (UF)</t>
  </si>
  <si>
    <t xml:space="preserve">Praga </t>
  </si>
  <si>
    <t>NV</t>
  </si>
  <si>
    <t>Cristián Armas &amp; Paula Alvear</t>
  </si>
  <si>
    <t>FO</t>
  </si>
  <si>
    <t>Casa Santuario (dirección pendiente de confirmar)</t>
  </si>
  <si>
    <t>San Salvador</t>
  </si>
  <si>
    <t>Local Av. La dehesa</t>
  </si>
  <si>
    <t>MEME spa</t>
  </si>
  <si>
    <t>Lo barnechea</t>
  </si>
  <si>
    <t xml:space="preserve">Departamento </t>
  </si>
  <si>
    <t xml:space="preserve">La cabaña </t>
  </si>
  <si>
    <t>Lo Barnechea</t>
  </si>
  <si>
    <t>Casa Nuba PL</t>
  </si>
  <si>
    <t>Pichilemu av. Punta lobos</t>
  </si>
  <si>
    <t>NV Punta Lobos</t>
  </si>
  <si>
    <t>departamento</t>
  </si>
  <si>
    <t>tajamar con encomenderos</t>
  </si>
  <si>
    <t>Lotes Cementerio</t>
  </si>
  <si>
    <t>Lote 12</t>
  </si>
  <si>
    <t>Cementerio Zapallar</t>
  </si>
  <si>
    <t>Cristian armas &amp; Paula Alvear</t>
  </si>
  <si>
    <t xml:space="preserve">ARRIENDO LA LUMA </t>
  </si>
  <si>
    <t>PAGO VALLE CENTRO A NV (UF 31,25) ** 110 cuotas</t>
  </si>
  <si>
    <t>OCIO</t>
  </si>
  <si>
    <t>PATENTES AUTOS REVISIONES TECNICAS (1,4 mm año)</t>
  </si>
  <si>
    <t>CUOTAS MENSUALES CLUB DE POLO (UF)</t>
  </si>
  <si>
    <t>PATENTES COMERCIALES + Direccion fiscal (Preguntar a ITALO) UF</t>
  </si>
  <si>
    <t>DEDUCIBLE SEGUROS AUTOS</t>
  </si>
  <si>
    <t xml:space="preserve">AUTOS BENCINA </t>
  </si>
  <si>
    <t>HONORARIOS JUICIO VILLABLANCA</t>
  </si>
  <si>
    <t>SEGUROS AUTOS CAM AGOSTO, PAR OCTUBRE (UF)</t>
  </si>
  <si>
    <t>PAGO DIVIDENDO CASA SANTUARIO SANTANDER (UF)</t>
  </si>
  <si>
    <t>CASA NUBA**</t>
  </si>
  <si>
    <t>año compra</t>
  </si>
  <si>
    <t>ADMINISTRADORA BBRR</t>
  </si>
  <si>
    <t>HONORARIOS FO</t>
  </si>
  <si>
    <t>Contabilidad Tributaria LENA</t>
  </si>
  <si>
    <t>Contabilidad ITALO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</si>
</sst>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[Red]&quot;($&quot;#,##0\);\-"/>
    <numFmt numFmtId="165" formatCode="0.0%"/>
    <numFmt numFmtId="166" formatCode="0.00\x"/>
    <numFmt numFmtId="167" formatCode="0.0&quot; meses&quot;"/>
    <numFmt numFmtId="168" formatCode="0.000"/>
  </numFmts>
  <fonts count="13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11"/>
      <color rgb="FF808080"/>
      <name val="Arial"/>
      <family val="2"/>
    </font>
    <font>
      <b/>
      <sz val="11"/>
      <color rgb="FF1F3864"/>
      <name val="Arial"/>
      <family val="2"/>
    </font>
    <font>
      <sz val="11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b/>
      <sz val="11"/>
      <color rgb="FF000000"/>
      <name val="Arial"/>
      <family val="2"/>
    </font>
    <font>
      <sz val="10"/>
      <name val="Arial"/>
      <family val="2"/>
    </font>
    <font>
      <sz val="11"/>
      <color rgb="FF008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D9D9D9"/>
      </patternFill>
    </fill>
    <fill>
      <patternFill patternType="solid">
        <fgColor rgb="FFFCE4D6"/>
        <bgColor rgb="FFD9D9D9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6" fillId="4" borderId="1" xfId="0" applyFont="1" applyFill="1" applyBorder="1"/>
    <xf numFmtId="0" fontId="2" fillId="0" borderId="1" xfId="0" applyFont="1" applyBorder="1" applyAlignment="1">
      <alignment wrapText="1"/>
    </xf>
    <xf numFmtId="164" fontId="6" fillId="4" borderId="1" xfId="0" applyNumberFormat="1" applyFont="1" applyFill="1" applyBorder="1"/>
    <xf numFmtId="0" fontId="0" fillId="4" borderId="1" xfId="0" applyFill="1" applyBorder="1"/>
    <xf numFmtId="165" fontId="6" fillId="4" borderId="1" xfId="0" applyNumberFormat="1" applyFont="1" applyFill="1" applyBorder="1"/>
    <xf numFmtId="0" fontId="7" fillId="0" borderId="1" xfId="0" applyFont="1" applyBorder="1"/>
    <xf numFmtId="0" fontId="4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164" fontId="7" fillId="0" borderId="1" xfId="0" applyNumberFormat="1" applyFont="1" applyBorder="1"/>
    <xf numFmtId="0" fontId="8" fillId="5" borderId="1" xfId="0" applyFont="1" applyFill="1" applyBorder="1"/>
    <xf numFmtId="0" fontId="0" fillId="5" borderId="1" xfId="0" applyFill="1" applyBorder="1"/>
    <xf numFmtId="164" fontId="8" fillId="5" borderId="1" xfId="0" applyNumberFormat="1" applyFont="1" applyFill="1" applyBorder="1"/>
    <xf numFmtId="0" fontId="3" fillId="6" borderId="0" xfId="0" applyFont="1" applyFill="1"/>
    <xf numFmtId="0" fontId="2" fillId="0" borderId="1" xfId="0" applyFont="1" applyBorder="1"/>
    <xf numFmtId="0" fontId="0" fillId="0" borderId="1" xfId="0" applyBorder="1"/>
    <xf numFmtId="164" fontId="2" fillId="0" borderId="1" xfId="0" applyNumberFormat="1" applyFont="1" applyBorder="1"/>
    <xf numFmtId="164" fontId="2" fillId="0" borderId="0" xfId="0" applyNumberFormat="1" applyFont="1"/>
    <xf numFmtId="0" fontId="4" fillId="6" borderId="1" xfId="0" applyFont="1" applyFill="1" applyBorder="1"/>
    <xf numFmtId="164" fontId="7" fillId="6" borderId="1" xfId="0" applyNumberFormat="1" applyFont="1" applyFill="1" applyBorder="1"/>
    <xf numFmtId="0" fontId="2" fillId="6" borderId="1" xfId="0" applyFont="1" applyFill="1" applyBorder="1" applyAlignment="1">
      <alignment wrapText="1"/>
    </xf>
    <xf numFmtId="164" fontId="4" fillId="6" borderId="1" xfId="0" applyNumberFormat="1" applyFont="1" applyFill="1" applyBorder="1"/>
    <xf numFmtId="0" fontId="0" fillId="2" borderId="0" xfId="0" applyFill="1"/>
    <xf numFmtId="0" fontId="8" fillId="5" borderId="0" xfId="0" applyFont="1" applyFill="1"/>
    <xf numFmtId="164" fontId="8" fillId="5" borderId="0" xfId="0" applyNumberFormat="1" applyFont="1" applyFill="1"/>
    <xf numFmtId="164" fontId="0" fillId="4" borderId="1" xfId="0" applyNumberFormat="1" applyFill="1" applyBorder="1"/>
    <xf numFmtId="165" fontId="7" fillId="0" borderId="1" xfId="0" applyNumberFormat="1" applyFont="1" applyBorder="1"/>
    <xf numFmtId="164" fontId="4" fillId="0" borderId="1" xfId="0" applyNumberFormat="1" applyFont="1" applyBorder="1"/>
    <xf numFmtId="165" fontId="7" fillId="6" borderId="1" xfId="0" applyNumberFormat="1" applyFont="1" applyFill="1" applyBorder="1"/>
    <xf numFmtId="0" fontId="0" fillId="6" borderId="1" xfId="0" applyFill="1" applyBorder="1"/>
    <xf numFmtId="165" fontId="7" fillId="4" borderId="1" xfId="0" applyNumberFormat="1" applyFont="1" applyFill="1" applyBorder="1"/>
    <xf numFmtId="164" fontId="4" fillId="4" borderId="1" xfId="0" applyNumberFormat="1" applyFont="1" applyFill="1" applyBorder="1"/>
    <xf numFmtId="0" fontId="5" fillId="3" borderId="1" xfId="0" applyFont="1" applyFill="1" applyBorder="1" applyAlignment="1">
      <alignment horizontal="center"/>
    </xf>
    <xf numFmtId="164" fontId="7" fillId="0" borderId="0" xfId="0" applyNumberFormat="1" applyFont="1"/>
    <xf numFmtId="164" fontId="7" fillId="6" borderId="0" xfId="0" applyNumberFormat="1" applyFont="1" applyFill="1"/>
    <xf numFmtId="164" fontId="10" fillId="0" borderId="1" xfId="0" applyNumberFormat="1" applyFont="1" applyBorder="1"/>
    <xf numFmtId="165" fontId="4" fillId="0" borderId="1" xfId="0" applyNumberFormat="1" applyFont="1" applyBorder="1"/>
    <xf numFmtId="0" fontId="0" fillId="5" borderId="0" xfId="0" applyFill="1"/>
    <xf numFmtId="164" fontId="10" fillId="0" borderId="0" xfId="0" applyNumberFormat="1" applyFont="1"/>
    <xf numFmtId="0" fontId="4" fillId="0" borderId="0" xfId="0" applyFont="1"/>
    <xf numFmtId="164" fontId="4" fillId="0" borderId="0" xfId="0" applyNumberFormat="1" applyFont="1"/>
    <xf numFmtId="165" fontId="10" fillId="6" borderId="1" xfId="0" applyNumberFormat="1" applyFont="1" applyFill="1" applyBorder="1"/>
    <xf numFmtId="0" fontId="2" fillId="6" borderId="1" xfId="0" applyFont="1" applyFill="1" applyBorder="1"/>
    <xf numFmtId="165" fontId="10" fillId="0" borderId="1" xfId="0" applyNumberFormat="1" applyFont="1" applyBorder="1"/>
    <xf numFmtId="166" fontId="10" fillId="0" borderId="1" xfId="0" applyNumberFormat="1" applyFont="1" applyBorder="1"/>
    <xf numFmtId="167" fontId="10" fillId="0" borderId="1" xfId="0" applyNumberFormat="1" applyFont="1" applyBorder="1"/>
    <xf numFmtId="168" fontId="10" fillId="0" borderId="1" xfId="0" applyNumberFormat="1" applyFont="1" applyBorder="1"/>
    <xf numFmtId="0" fontId="5" fillId="3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wrapText="1"/>
    </xf>
    <xf numFmtId="164" fontId="7" fillId="7" borderId="1" xfId="0" applyNumberFormat="1" applyFont="1" applyFill="1" applyBorder="1"/>
    <xf numFmtId="0" fontId="0" fillId="7" borderId="0" xfId="0" applyFill="1"/>
    <xf numFmtId="0" fontId="5" fillId="3" borderId="2" xfId="0" applyFont="1" applyFill="1" applyBorder="1"/>
    <xf numFmtId="0" fontId="4" fillId="0" borderId="2" xfId="0" applyFont="1" applyBorder="1"/>
    <xf numFmtId="0" fontId="4" fillId="7" borderId="2" xfId="0" applyFont="1" applyFill="1" applyBorder="1"/>
    <xf numFmtId="0" fontId="4" fillId="6" borderId="2" xfId="0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/>
    </xf>
    <xf numFmtId="164" fontId="7" fillId="0" borderId="3" xfId="0" applyNumberFormat="1" applyFont="1" applyBorder="1"/>
    <xf numFmtId="164" fontId="7" fillId="7" borderId="3" xfId="0" applyNumberFormat="1" applyFont="1" applyFill="1" applyBorder="1"/>
    <xf numFmtId="164" fontId="7" fillId="6" borderId="3" xfId="0" applyNumberFormat="1" applyFont="1" applyFill="1" applyBorder="1"/>
    <xf numFmtId="0" fontId="5" fillId="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5" fillId="3" borderId="6" xfId="0" applyFont="1" applyFill="1" applyBorder="1" applyAlignment="1">
      <alignment horizontal="center"/>
    </xf>
    <xf numFmtId="0" fontId="0" fillId="2" borderId="5" xfId="0" applyFill="1" applyBorder="1"/>
    <xf numFmtId="164" fontId="7" fillId="0" borderId="6" xfId="0" applyNumberFormat="1" applyFont="1" applyBorder="1"/>
    <xf numFmtId="164" fontId="7" fillId="7" borderId="6" xfId="0" applyNumberFormat="1" applyFont="1" applyFill="1" applyBorder="1"/>
    <xf numFmtId="164" fontId="7" fillId="6" borderId="6" xfId="0" applyNumberFormat="1" applyFont="1" applyFill="1" applyBorder="1"/>
    <xf numFmtId="164" fontId="7" fillId="0" borderId="5" xfId="0" applyNumberFormat="1" applyFont="1" applyBorder="1"/>
    <xf numFmtId="164" fontId="8" fillId="5" borderId="5" xfId="0" applyNumberFormat="1" applyFont="1" applyFill="1" applyBorder="1"/>
    <xf numFmtId="164" fontId="7" fillId="6" borderId="5" xfId="0" applyNumberFormat="1" applyFont="1" applyFill="1" applyBorder="1"/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7030A0"/>
      <rgbColor rgb="FFFCE4D6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D9D9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000"/>
      <rgbColor rgb="FFFF9900"/>
      <rgbColor rgb="FFED7D31"/>
      <rgbColor rgb="FF8064A2"/>
      <rgbColor rgb="FFA6A6A6"/>
      <rgbColor rgb="FF1F3864"/>
      <rgbColor rgb="FF00B050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Distribución de Activos por Clase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765-4490-9D37-A6C4D520249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765-4490-9D37-A6C4D520249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765-4490-9D37-A6C4D520249A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765-4490-9D37-A6C4D520249A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765-4490-9D37-A6C4D520249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65-4490-9D37-A6C4D520249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65-4490-9D37-A6C4D520249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65-4490-9D37-A6C4D520249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765-4490-9D37-A6C4D520249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765-4490-9D37-A6C4D52024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Balance_Consolidado!$A$27:$A$31</c:f>
              <c:strCache>
                <c:ptCount val="5"/>
                <c:pt idx="0">
                  <c:v>Liquidez</c:v>
                </c:pt>
                <c:pt idx="1">
                  <c:v>Inversiones Financieras</c:v>
                </c:pt>
                <c:pt idx="2">
                  <c:v>Bienes Raíces</c:v>
                </c:pt>
                <c:pt idx="3">
                  <c:v>Empresas (Equity)</c:v>
                </c:pt>
                <c:pt idx="4">
                  <c:v>Otros Activos (CxC + menores)</c:v>
                </c:pt>
              </c:strCache>
            </c:strRef>
          </c:cat>
          <c:val>
            <c:numRef>
              <c:f>Balance_Consolidado!$B$27:$B$31</c:f>
              <c:numCache>
                <c:formatCode>\$#,##0;[Red]"($"#,##0\);\-</c:formatCode>
                <c:ptCount val="5"/>
                <c:pt idx="0">
                  <c:v>46044820</c:v>
                </c:pt>
                <c:pt idx="1">
                  <c:v>590887018</c:v>
                </c:pt>
                <c:pt idx="2">
                  <c:v>7063315031.6045456</c:v>
                </c:pt>
                <c:pt idx="3">
                  <c:v>6826700000</c:v>
                </c:pt>
                <c:pt idx="4">
                  <c:v>119252878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65-4490-9D37-A6C4D5202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12</xdr:col>
      <xdr:colOff>399240</xdr:colOff>
      <xdr:row>18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B52"/>
  <sheetViews>
    <sheetView zoomScaleNormal="100" workbookViewId="0"/>
  </sheetViews>
  <sheetFormatPr baseColWidth="10" defaultColWidth="8.6328125" defaultRowHeight="14.5" x14ac:dyDescent="0.35"/>
  <cols>
    <col min="1" max="1" width="3" customWidth="1"/>
    <col min="2" max="2" width="95" customWidth="1"/>
  </cols>
  <sheetData>
    <row r="2" spans="2:2" ht="18" x14ac:dyDescent="0.4">
      <c r="B2" s="1" t="s">
        <v>0</v>
      </c>
    </row>
    <row r="3" spans="2:2" x14ac:dyDescent="0.35">
      <c r="B3" s="2" t="s">
        <v>1</v>
      </c>
    </row>
    <row r="5" spans="2:2" x14ac:dyDescent="0.35">
      <c r="B5" s="3" t="s">
        <v>2</v>
      </c>
    </row>
    <row r="6" spans="2:2" ht="28.5" x14ac:dyDescent="0.35">
      <c r="B6" s="4" t="s">
        <v>3</v>
      </c>
    </row>
    <row r="7" spans="2:2" ht="28.5" x14ac:dyDescent="0.35">
      <c r="B7" s="4" t="s">
        <v>4</v>
      </c>
    </row>
    <row r="9" spans="2:2" x14ac:dyDescent="0.35">
      <c r="B9" s="3" t="s">
        <v>5</v>
      </c>
    </row>
    <row r="10" spans="2:2" ht="28.5" x14ac:dyDescent="0.35">
      <c r="B10" s="4" t="s">
        <v>6</v>
      </c>
    </row>
    <row r="11" spans="2:2" x14ac:dyDescent="0.35">
      <c r="B11" s="4" t="s">
        <v>7</v>
      </c>
    </row>
    <row r="12" spans="2:2" x14ac:dyDescent="0.35">
      <c r="B12" s="4" t="s">
        <v>8</v>
      </c>
    </row>
    <row r="13" spans="2:2" x14ac:dyDescent="0.35">
      <c r="B13" s="4" t="s">
        <v>9</v>
      </c>
    </row>
    <row r="15" spans="2:2" x14ac:dyDescent="0.35">
      <c r="B15" s="3" t="s">
        <v>10</v>
      </c>
    </row>
    <row r="16" spans="2:2" ht="56.5" x14ac:dyDescent="0.35">
      <c r="B16" s="4" t="s">
        <v>11</v>
      </c>
    </row>
    <row r="17" spans="2:2" ht="56.5" x14ac:dyDescent="0.35">
      <c r="B17" s="4" t="s">
        <v>12</v>
      </c>
    </row>
    <row r="18" spans="2:2" ht="28.5" x14ac:dyDescent="0.35">
      <c r="B18" s="4" t="s">
        <v>13</v>
      </c>
    </row>
    <row r="19" spans="2:2" x14ac:dyDescent="0.35">
      <c r="B19" s="4" t="s">
        <v>14</v>
      </c>
    </row>
    <row r="20" spans="2:2" ht="56.5" x14ac:dyDescent="0.35">
      <c r="B20" s="4" t="s">
        <v>15</v>
      </c>
    </row>
    <row r="22" spans="2:2" x14ac:dyDescent="0.35">
      <c r="B22" s="3" t="s">
        <v>16</v>
      </c>
    </row>
    <row r="23" spans="2:2" ht="28.5" x14ac:dyDescent="0.35">
      <c r="B23" s="4" t="s">
        <v>17</v>
      </c>
    </row>
    <row r="24" spans="2:2" ht="56.5" x14ac:dyDescent="0.35">
      <c r="B24" s="4" t="s">
        <v>18</v>
      </c>
    </row>
    <row r="25" spans="2:2" ht="42.5" x14ac:dyDescent="0.35">
      <c r="B25" s="4" t="s">
        <v>19</v>
      </c>
    </row>
    <row r="26" spans="2:2" ht="28.5" x14ac:dyDescent="0.35">
      <c r="B26" s="4" t="s">
        <v>20</v>
      </c>
    </row>
    <row r="27" spans="2:2" ht="42.5" x14ac:dyDescent="0.35">
      <c r="B27" s="4" t="s">
        <v>21</v>
      </c>
    </row>
    <row r="28" spans="2:2" x14ac:dyDescent="0.35">
      <c r="B28" s="4" t="s">
        <v>22</v>
      </c>
    </row>
    <row r="29" spans="2:2" ht="42.5" x14ac:dyDescent="0.35">
      <c r="B29" s="4" t="s">
        <v>23</v>
      </c>
    </row>
    <row r="31" spans="2:2" x14ac:dyDescent="0.35">
      <c r="B31" s="3" t="s">
        <v>24</v>
      </c>
    </row>
    <row r="32" spans="2:2" x14ac:dyDescent="0.35">
      <c r="B32" s="4" t="s">
        <v>25</v>
      </c>
    </row>
    <row r="33" spans="2:2" x14ac:dyDescent="0.35">
      <c r="B33" s="4" t="s">
        <v>26</v>
      </c>
    </row>
    <row r="34" spans="2:2" ht="28.5" x14ac:dyDescent="0.35">
      <c r="B34" s="4" t="s">
        <v>27</v>
      </c>
    </row>
    <row r="35" spans="2:2" x14ac:dyDescent="0.35">
      <c r="B35" s="4" t="s">
        <v>28</v>
      </c>
    </row>
    <row r="36" spans="2:2" x14ac:dyDescent="0.35">
      <c r="B36" s="4" t="s">
        <v>29</v>
      </c>
    </row>
    <row r="37" spans="2:2" x14ac:dyDescent="0.35">
      <c r="B37" s="4" t="s">
        <v>30</v>
      </c>
    </row>
    <row r="38" spans="2:2" x14ac:dyDescent="0.35">
      <c r="B38" s="4" t="s">
        <v>31</v>
      </c>
    </row>
    <row r="39" spans="2:2" x14ac:dyDescent="0.35">
      <c r="B39" s="4" t="s">
        <v>32</v>
      </c>
    </row>
    <row r="40" spans="2:2" x14ac:dyDescent="0.35">
      <c r="B40" s="4" t="s">
        <v>33</v>
      </c>
    </row>
    <row r="41" spans="2:2" x14ac:dyDescent="0.35">
      <c r="B41" s="4" t="s">
        <v>34</v>
      </c>
    </row>
    <row r="42" spans="2:2" ht="28.5" x14ac:dyDescent="0.35">
      <c r="B42" s="4" t="s">
        <v>35</v>
      </c>
    </row>
    <row r="43" spans="2:2" x14ac:dyDescent="0.35">
      <c r="B43" s="4" t="s">
        <v>36</v>
      </c>
    </row>
    <row r="45" spans="2:2" x14ac:dyDescent="0.35">
      <c r="B45" s="3" t="s">
        <v>37</v>
      </c>
    </row>
    <row r="46" spans="2:2" ht="56.5" x14ac:dyDescent="0.35">
      <c r="B46" s="4" t="s">
        <v>38</v>
      </c>
    </row>
    <row r="47" spans="2:2" ht="42.5" x14ac:dyDescent="0.35">
      <c r="B47" s="4" t="s">
        <v>39</v>
      </c>
    </row>
    <row r="48" spans="2:2" ht="42.5" x14ac:dyDescent="0.35">
      <c r="B48" s="4" t="s">
        <v>40</v>
      </c>
    </row>
    <row r="49" spans="2:2" ht="42.5" x14ac:dyDescent="0.35">
      <c r="B49" s="4" t="s">
        <v>41</v>
      </c>
    </row>
    <row r="50" spans="2:2" ht="28.5" x14ac:dyDescent="0.35">
      <c r="B50" s="4" t="s">
        <v>42</v>
      </c>
    </row>
    <row r="52" spans="2:2" x14ac:dyDescent="0.35">
      <c r="B52" s="2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C17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328125" defaultRowHeight="14.5" x14ac:dyDescent="0.35"/>
  <cols>
    <col min="1" max="1" width="42" customWidth="1"/>
    <col min="2" max="2" width="16" customWidth="1"/>
    <col min="3" max="3" width="55" customWidth="1"/>
  </cols>
  <sheetData>
    <row r="1" spans="1:3" ht="18" x14ac:dyDescent="0.4">
      <c r="A1" s="1" t="s">
        <v>44</v>
      </c>
    </row>
    <row r="3" spans="1:3" ht="15.5" x14ac:dyDescent="0.35">
      <c r="A3" s="5" t="s">
        <v>45</v>
      </c>
      <c r="B3" s="5" t="s">
        <v>46</v>
      </c>
      <c r="C3" s="5" t="s">
        <v>47</v>
      </c>
    </row>
    <row r="4" spans="1:3" x14ac:dyDescent="0.35">
      <c r="A4" s="6" t="s">
        <v>48</v>
      </c>
      <c r="B4" s="7" t="s">
        <v>49</v>
      </c>
      <c r="C4" s="8" t="s">
        <v>50</v>
      </c>
    </row>
    <row r="5" spans="1:3" x14ac:dyDescent="0.35">
      <c r="A5" s="6" t="s">
        <v>51</v>
      </c>
      <c r="B5" s="7" t="s">
        <v>52</v>
      </c>
      <c r="C5" s="8" t="s">
        <v>53</v>
      </c>
    </row>
    <row r="6" spans="1:3" ht="29" x14ac:dyDescent="0.35">
      <c r="A6" s="6" t="s">
        <v>54</v>
      </c>
      <c r="B6" s="9">
        <v>40844.79</v>
      </c>
      <c r="C6" s="8" t="s">
        <v>55</v>
      </c>
    </row>
    <row r="7" spans="1:3" x14ac:dyDescent="0.35">
      <c r="A7" s="6" t="s">
        <v>56</v>
      </c>
      <c r="B7" s="10"/>
      <c r="C7" s="8" t="s">
        <v>57</v>
      </c>
    </row>
    <row r="8" spans="1:3" ht="29" x14ac:dyDescent="0.35">
      <c r="A8" s="6" t="s">
        <v>58</v>
      </c>
      <c r="B8" s="7">
        <v>2.35</v>
      </c>
      <c r="C8" s="8" t="s">
        <v>59</v>
      </c>
    </row>
    <row r="9" spans="1:3" ht="29" x14ac:dyDescent="0.35">
      <c r="A9" s="6" t="s">
        <v>60</v>
      </c>
      <c r="B9" s="11">
        <v>0.03</v>
      </c>
      <c r="C9" s="8" t="s">
        <v>61</v>
      </c>
    </row>
    <row r="10" spans="1:3" ht="29" x14ac:dyDescent="0.35">
      <c r="A10" s="6" t="s">
        <v>62</v>
      </c>
      <c r="B10" s="11">
        <v>5.0000000000000001E-3</v>
      </c>
      <c r="C10" s="8" t="s">
        <v>63</v>
      </c>
    </row>
    <row r="11" spans="1:3" ht="29" x14ac:dyDescent="0.35">
      <c r="A11" s="6" t="s">
        <v>64</v>
      </c>
      <c r="B11" s="11">
        <v>4.4999999999999998E-2</v>
      </c>
      <c r="C11" s="8" t="s">
        <v>65</v>
      </c>
    </row>
    <row r="12" spans="1:3" ht="29" x14ac:dyDescent="0.35">
      <c r="A12" s="6" t="s">
        <v>66</v>
      </c>
      <c r="B12" s="11">
        <v>0.03</v>
      </c>
      <c r="C12" s="8" t="s">
        <v>67</v>
      </c>
    </row>
    <row r="13" spans="1:3" ht="29" x14ac:dyDescent="0.35">
      <c r="A13" s="6" t="s">
        <v>68</v>
      </c>
      <c r="B13" s="11">
        <v>0.06</v>
      </c>
      <c r="C13" s="8" t="s">
        <v>69</v>
      </c>
    </row>
    <row r="14" spans="1:3" x14ac:dyDescent="0.35">
      <c r="A14" s="6" t="s">
        <v>70</v>
      </c>
      <c r="B14" s="11">
        <v>0.06</v>
      </c>
      <c r="C14" s="8" t="s">
        <v>71</v>
      </c>
    </row>
    <row r="15" spans="1:3" x14ac:dyDescent="0.35">
      <c r="A15" s="6" t="s">
        <v>72</v>
      </c>
      <c r="B15" s="7" t="s">
        <v>73</v>
      </c>
      <c r="C15" s="8"/>
    </row>
    <row r="16" spans="1:3" x14ac:dyDescent="0.35">
      <c r="A16" s="6" t="s">
        <v>74</v>
      </c>
      <c r="B16" s="7" t="s">
        <v>75</v>
      </c>
      <c r="C16" s="8"/>
    </row>
    <row r="17" spans="1:3" x14ac:dyDescent="0.35">
      <c r="A17" s="6" t="s">
        <v>76</v>
      </c>
      <c r="B17" s="7" t="s">
        <v>77</v>
      </c>
      <c r="C17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D15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328125" defaultRowHeight="14.5" x14ac:dyDescent="0.35"/>
  <cols>
    <col min="1" max="1" width="30" customWidth="1"/>
    <col min="2" max="2" width="16" customWidth="1"/>
    <col min="3" max="3" width="14" customWidth="1"/>
    <col min="4" max="4" width="55" customWidth="1"/>
  </cols>
  <sheetData>
    <row r="1" spans="1:4" ht="18" x14ac:dyDescent="0.4">
      <c r="A1" s="1" t="s">
        <v>78</v>
      </c>
    </row>
    <row r="2" spans="1:4" x14ac:dyDescent="0.35">
      <c r="A2" s="2" t="s">
        <v>79</v>
      </c>
    </row>
    <row r="4" spans="1:4" ht="15.5" x14ac:dyDescent="0.35">
      <c r="A4" s="5" t="s">
        <v>80</v>
      </c>
      <c r="B4" s="5" t="s">
        <v>81</v>
      </c>
      <c r="C4" s="5" t="s">
        <v>82</v>
      </c>
      <c r="D4" s="5" t="s">
        <v>83</v>
      </c>
    </row>
    <row r="5" spans="1:4" x14ac:dyDescent="0.35">
      <c r="A5" s="12" t="s">
        <v>84</v>
      </c>
      <c r="B5" s="12" t="s">
        <v>85</v>
      </c>
      <c r="C5" s="12" t="s">
        <v>86</v>
      </c>
      <c r="D5" s="13" t="s">
        <v>87</v>
      </c>
    </row>
    <row r="6" spans="1:4" ht="28.5" x14ac:dyDescent="0.35">
      <c r="A6" s="12" t="s">
        <v>88</v>
      </c>
      <c r="B6" s="12" t="s">
        <v>89</v>
      </c>
      <c r="C6" s="12" t="s">
        <v>90</v>
      </c>
      <c r="D6" s="13" t="s">
        <v>91</v>
      </c>
    </row>
    <row r="7" spans="1:4" ht="28.5" x14ac:dyDescent="0.35">
      <c r="A7" s="12" t="s">
        <v>92</v>
      </c>
      <c r="B7" s="12" t="s">
        <v>93</v>
      </c>
      <c r="C7" s="12" t="s">
        <v>94</v>
      </c>
      <c r="D7" s="13" t="s">
        <v>95</v>
      </c>
    </row>
    <row r="8" spans="1:4" ht="28.5" x14ac:dyDescent="0.35">
      <c r="A8" s="12" t="s">
        <v>96</v>
      </c>
      <c r="B8" s="12" t="s">
        <v>97</v>
      </c>
      <c r="C8" s="12" t="s">
        <v>98</v>
      </c>
      <c r="D8" s="13" t="s">
        <v>99</v>
      </c>
    </row>
    <row r="9" spans="1:4" ht="28.5" x14ac:dyDescent="0.35">
      <c r="A9" s="12" t="s">
        <v>100</v>
      </c>
      <c r="B9" s="12" t="s">
        <v>101</v>
      </c>
      <c r="C9" s="12" t="s">
        <v>98</v>
      </c>
      <c r="D9" s="13" t="s">
        <v>99</v>
      </c>
    </row>
    <row r="11" spans="1:4" x14ac:dyDescent="0.35">
      <c r="A11" s="3" t="s">
        <v>102</v>
      </c>
    </row>
    <row r="12" spans="1:4" ht="15.5" x14ac:dyDescent="0.35">
      <c r="A12" s="5" t="s">
        <v>80</v>
      </c>
      <c r="B12" s="5" t="s">
        <v>81</v>
      </c>
      <c r="C12" s="5" t="s">
        <v>103</v>
      </c>
      <c r="D12" s="5"/>
    </row>
    <row r="13" spans="1:4" ht="87" x14ac:dyDescent="0.35">
      <c r="A13" s="2" t="s">
        <v>104</v>
      </c>
      <c r="B13" s="2" t="s">
        <v>105</v>
      </c>
      <c r="C13" s="14" t="s">
        <v>106</v>
      </c>
    </row>
    <row r="14" spans="1:4" ht="87" x14ac:dyDescent="0.35">
      <c r="A14" s="2" t="s">
        <v>107</v>
      </c>
      <c r="B14" s="2" t="s">
        <v>108</v>
      </c>
      <c r="C14" s="14" t="s">
        <v>109</v>
      </c>
    </row>
    <row r="15" spans="1:4" ht="87" x14ac:dyDescent="0.35">
      <c r="A15" s="2" t="s">
        <v>110</v>
      </c>
      <c r="B15" s="2" t="s">
        <v>111</v>
      </c>
      <c r="C15" s="14" t="s">
        <v>109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E43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328125" defaultRowHeight="14.5" x14ac:dyDescent="0.35"/>
  <cols>
    <col min="1" max="1" width="42" customWidth="1"/>
    <col min="2" max="2" width="38" customWidth="1"/>
    <col min="3" max="3" width="16" customWidth="1"/>
    <col min="4" max="4" width="18" customWidth="1"/>
    <col min="5" max="5" width="30" customWidth="1"/>
  </cols>
  <sheetData>
    <row r="1" spans="1:5" ht="18" x14ac:dyDescent="0.4">
      <c r="A1" s="1" t="s">
        <v>112</v>
      </c>
    </row>
    <row r="2" spans="1:5" ht="58" x14ac:dyDescent="0.35">
      <c r="A2" s="14" t="s">
        <v>113</v>
      </c>
    </row>
    <row r="4" spans="1:5" ht="15.5" x14ac:dyDescent="0.35">
      <c r="A4" s="5" t="s">
        <v>114</v>
      </c>
      <c r="B4" s="5" t="s">
        <v>115</v>
      </c>
      <c r="C4" s="5" t="s">
        <v>116</v>
      </c>
      <c r="D4" s="5" t="s">
        <v>117</v>
      </c>
      <c r="E4" s="5" t="s">
        <v>103</v>
      </c>
    </row>
    <row r="5" spans="1:5" x14ac:dyDescent="0.35">
      <c r="A5" s="6" t="s">
        <v>118</v>
      </c>
      <c r="B5" s="6" t="s">
        <v>84</v>
      </c>
      <c r="C5" s="6" t="s">
        <v>119</v>
      </c>
      <c r="D5" s="15">
        <v>1016519</v>
      </c>
    </row>
    <row r="6" spans="1:5" x14ac:dyDescent="0.35">
      <c r="A6" s="6" t="s">
        <v>120</v>
      </c>
      <c r="B6" s="6" t="s">
        <v>88</v>
      </c>
      <c r="C6" s="6" t="s">
        <v>119</v>
      </c>
      <c r="D6" s="15">
        <v>7335</v>
      </c>
    </row>
    <row r="7" spans="1:5" x14ac:dyDescent="0.35">
      <c r="A7" s="6" t="s">
        <v>121</v>
      </c>
      <c r="B7" s="6" t="s">
        <v>122</v>
      </c>
      <c r="C7" s="6" t="s">
        <v>119</v>
      </c>
      <c r="D7" s="15">
        <v>9625060</v>
      </c>
    </row>
    <row r="8" spans="1:5" x14ac:dyDescent="0.35">
      <c r="A8" s="6" t="s">
        <v>123</v>
      </c>
      <c r="B8" s="6" t="s">
        <v>88</v>
      </c>
      <c r="C8" s="6" t="s">
        <v>119</v>
      </c>
      <c r="D8" s="15">
        <v>0</v>
      </c>
    </row>
    <row r="9" spans="1:5" x14ac:dyDescent="0.35">
      <c r="A9" s="6" t="s">
        <v>124</v>
      </c>
      <c r="B9" s="6" t="s">
        <v>125</v>
      </c>
      <c r="C9" s="6" t="s">
        <v>126</v>
      </c>
      <c r="D9" s="15">
        <v>61649</v>
      </c>
    </row>
    <row r="10" spans="1:5" x14ac:dyDescent="0.35">
      <c r="A10" s="6" t="s">
        <v>127</v>
      </c>
      <c r="B10" s="6" t="s">
        <v>128</v>
      </c>
      <c r="C10" s="6" t="s">
        <v>129</v>
      </c>
      <c r="D10" s="15">
        <v>0</v>
      </c>
    </row>
    <row r="11" spans="1:5" x14ac:dyDescent="0.35">
      <c r="A11" s="6" t="s">
        <v>130</v>
      </c>
      <c r="B11" s="6" t="s">
        <v>128</v>
      </c>
      <c r="C11" s="6" t="s">
        <v>129</v>
      </c>
      <c r="D11" s="15">
        <v>4572849</v>
      </c>
    </row>
    <row r="12" spans="1:5" x14ac:dyDescent="0.35">
      <c r="A12" s="6" t="s">
        <v>131</v>
      </c>
      <c r="B12" s="6" t="s">
        <v>132</v>
      </c>
      <c r="C12" s="6" t="s">
        <v>129</v>
      </c>
      <c r="D12" s="15">
        <v>20395034</v>
      </c>
    </row>
    <row r="13" spans="1:5" x14ac:dyDescent="0.35">
      <c r="A13" s="6" t="s">
        <v>133</v>
      </c>
      <c r="B13" s="6" t="s">
        <v>84</v>
      </c>
      <c r="C13" s="6" t="s">
        <v>119</v>
      </c>
      <c r="D13" s="15">
        <v>0</v>
      </c>
    </row>
    <row r="14" spans="1:5" x14ac:dyDescent="0.35">
      <c r="A14" s="6" t="s">
        <v>134</v>
      </c>
      <c r="B14" s="6" t="s">
        <v>135</v>
      </c>
      <c r="C14" s="6" t="s">
        <v>129</v>
      </c>
      <c r="D14" s="15">
        <v>18000000</v>
      </c>
    </row>
    <row r="15" spans="1:5" x14ac:dyDescent="0.35">
      <c r="A15" s="6" t="s">
        <v>136</v>
      </c>
      <c r="B15" s="6" t="s">
        <v>84</v>
      </c>
      <c r="C15" s="6" t="s">
        <v>119</v>
      </c>
      <c r="D15" s="15">
        <v>264000</v>
      </c>
    </row>
    <row r="16" spans="1:5" x14ac:dyDescent="0.35">
      <c r="A16" s="6" t="s">
        <v>137</v>
      </c>
      <c r="B16" s="6" t="s">
        <v>84</v>
      </c>
      <c r="C16" s="6" t="s">
        <v>119</v>
      </c>
      <c r="D16" s="15">
        <v>1032</v>
      </c>
    </row>
    <row r="17" spans="1:4" x14ac:dyDescent="0.35">
      <c r="A17" s="6" t="s">
        <v>138</v>
      </c>
      <c r="B17" s="6" t="s">
        <v>139</v>
      </c>
      <c r="C17" s="6" t="s">
        <v>129</v>
      </c>
      <c r="D17" s="15">
        <v>32000000</v>
      </c>
    </row>
    <row r="18" spans="1:4" x14ac:dyDescent="0.35">
      <c r="A18" s="6" t="s">
        <v>140</v>
      </c>
      <c r="B18" s="6" t="s">
        <v>84</v>
      </c>
      <c r="C18" s="6" t="s">
        <v>119</v>
      </c>
      <c r="D18" s="15">
        <v>160798</v>
      </c>
    </row>
    <row r="19" spans="1:4" x14ac:dyDescent="0.35">
      <c r="A19" s="6" t="s">
        <v>141</v>
      </c>
      <c r="B19" s="6" t="s">
        <v>84</v>
      </c>
      <c r="C19" s="6" t="s">
        <v>119</v>
      </c>
      <c r="D19" s="15">
        <v>5600</v>
      </c>
    </row>
    <row r="20" spans="1:4" x14ac:dyDescent="0.35">
      <c r="A20" s="6" t="s">
        <v>142</v>
      </c>
      <c r="B20" s="6" t="s">
        <v>88</v>
      </c>
      <c r="C20" s="6" t="s">
        <v>119</v>
      </c>
      <c r="D20" s="15">
        <v>2670476</v>
      </c>
    </row>
    <row r="21" spans="1:4" x14ac:dyDescent="0.35">
      <c r="A21" s="6" t="s">
        <v>143</v>
      </c>
      <c r="B21" s="6" t="s">
        <v>84</v>
      </c>
      <c r="C21" s="6" t="s">
        <v>119</v>
      </c>
      <c r="D21" s="15">
        <v>0</v>
      </c>
    </row>
    <row r="22" spans="1:4" x14ac:dyDescent="0.35">
      <c r="A22" s="6" t="s">
        <v>144</v>
      </c>
      <c r="B22" s="6" t="s">
        <v>84</v>
      </c>
      <c r="C22" s="6" t="s">
        <v>119</v>
      </c>
      <c r="D22" s="15">
        <v>31938000</v>
      </c>
    </row>
    <row r="23" spans="1:4" x14ac:dyDescent="0.35">
      <c r="A23" s="6" t="s">
        <v>145</v>
      </c>
      <c r="B23" s="6" t="s">
        <v>146</v>
      </c>
      <c r="C23" s="6" t="s">
        <v>126</v>
      </c>
      <c r="D23" s="15">
        <v>16580</v>
      </c>
    </row>
    <row r="24" spans="1:4" x14ac:dyDescent="0.35">
      <c r="A24" s="6" t="s">
        <v>147</v>
      </c>
      <c r="B24" s="6" t="s">
        <v>148</v>
      </c>
      <c r="C24" s="6" t="s">
        <v>129</v>
      </c>
      <c r="D24" s="15">
        <v>0</v>
      </c>
    </row>
    <row r="25" spans="1:4" x14ac:dyDescent="0.35">
      <c r="A25" s="6" t="s">
        <v>149</v>
      </c>
      <c r="B25" s="6" t="s">
        <v>150</v>
      </c>
      <c r="C25" s="6" t="s">
        <v>129</v>
      </c>
      <c r="D25" s="15">
        <v>0</v>
      </c>
    </row>
    <row r="26" spans="1:4" x14ac:dyDescent="0.35">
      <c r="A26" s="6" t="s">
        <v>151</v>
      </c>
      <c r="B26" s="6" t="s">
        <v>135</v>
      </c>
      <c r="C26" s="6" t="s">
        <v>129</v>
      </c>
      <c r="D26" s="15">
        <v>0</v>
      </c>
    </row>
    <row r="27" spans="1:4" x14ac:dyDescent="0.35">
      <c r="A27" s="6" t="s">
        <v>152</v>
      </c>
      <c r="B27" s="6" t="s">
        <v>153</v>
      </c>
      <c r="C27" s="6" t="s">
        <v>129</v>
      </c>
      <c r="D27" s="15">
        <v>0</v>
      </c>
    </row>
    <row r="28" spans="1:4" x14ac:dyDescent="0.35">
      <c r="A28" s="6" t="s">
        <v>154</v>
      </c>
      <c r="B28" s="6" t="s">
        <v>155</v>
      </c>
      <c r="C28" s="6" t="s">
        <v>119</v>
      </c>
      <c r="D28" s="15">
        <v>356000</v>
      </c>
    </row>
    <row r="29" spans="1:4" x14ac:dyDescent="0.35">
      <c r="A29" s="6" t="s">
        <v>156</v>
      </c>
      <c r="B29" s="6" t="s">
        <v>157</v>
      </c>
      <c r="C29" s="6" t="s">
        <v>129</v>
      </c>
      <c r="D29" s="15">
        <v>0</v>
      </c>
    </row>
    <row r="30" spans="1:4" x14ac:dyDescent="0.35">
      <c r="A30" s="6" t="s">
        <v>158</v>
      </c>
      <c r="B30" s="6" t="s">
        <v>159</v>
      </c>
      <c r="C30" s="6" t="s">
        <v>129</v>
      </c>
      <c r="D30" s="15">
        <v>0</v>
      </c>
    </row>
    <row r="31" spans="1:4" x14ac:dyDescent="0.35">
      <c r="A31" s="6" t="s">
        <v>160</v>
      </c>
      <c r="B31" s="6" t="s">
        <v>119</v>
      </c>
      <c r="C31" s="6" t="s">
        <v>119</v>
      </c>
      <c r="D31" s="15">
        <v>0</v>
      </c>
    </row>
    <row r="32" spans="1:4" x14ac:dyDescent="0.35">
      <c r="A32" s="16" t="s">
        <v>161</v>
      </c>
      <c r="B32" s="17"/>
      <c r="C32" s="17"/>
      <c r="D32" s="18">
        <f>SUM(D5:D31)</f>
        <v>121090932</v>
      </c>
    </row>
    <row r="33" spans="1:5" x14ac:dyDescent="0.35">
      <c r="A33" s="16" t="s">
        <v>162</v>
      </c>
      <c r="B33" s="17"/>
      <c r="C33" s="17"/>
      <c r="D33" s="18">
        <f>SUMIF(C5:C31,"Familia",D5:D31)</f>
        <v>46044820</v>
      </c>
    </row>
    <row r="35" spans="1:5" x14ac:dyDescent="0.35">
      <c r="A35" s="19" t="s">
        <v>163</v>
      </c>
    </row>
    <row r="36" spans="1:5" ht="15.5" x14ac:dyDescent="0.35">
      <c r="A36" s="5" t="s">
        <v>164</v>
      </c>
      <c r="B36" s="5" t="s">
        <v>165</v>
      </c>
      <c r="C36" s="5"/>
      <c r="D36" s="5" t="s">
        <v>117</v>
      </c>
      <c r="E36" s="5" t="s">
        <v>103</v>
      </c>
    </row>
    <row r="37" spans="1:5" x14ac:dyDescent="0.35">
      <c r="A37" s="20" t="s">
        <v>166</v>
      </c>
      <c r="B37" s="20" t="s">
        <v>84</v>
      </c>
      <c r="C37" s="21"/>
      <c r="D37" s="22">
        <v>14828776</v>
      </c>
    </row>
    <row r="38" spans="1:5" x14ac:dyDescent="0.35">
      <c r="A38" s="20" t="s">
        <v>167</v>
      </c>
      <c r="B38" s="20" t="s">
        <v>84</v>
      </c>
      <c r="C38" s="21"/>
      <c r="D38" s="22">
        <v>10052183</v>
      </c>
    </row>
    <row r="39" spans="1:5" x14ac:dyDescent="0.35">
      <c r="A39" s="20" t="s">
        <v>168</v>
      </c>
      <c r="B39" s="20" t="s">
        <v>84</v>
      </c>
      <c r="C39" s="21"/>
      <c r="D39" s="22">
        <v>19726835</v>
      </c>
    </row>
    <row r="40" spans="1:5" x14ac:dyDescent="0.35">
      <c r="A40" s="20" t="s">
        <v>169</v>
      </c>
      <c r="B40" s="20" t="s">
        <v>84</v>
      </c>
      <c r="C40" s="21"/>
      <c r="D40" s="22">
        <v>24902364</v>
      </c>
    </row>
    <row r="41" spans="1:5" x14ac:dyDescent="0.35">
      <c r="A41" s="20" t="s">
        <v>170</v>
      </c>
      <c r="B41" s="20" t="s">
        <v>88</v>
      </c>
      <c r="C41" s="21"/>
      <c r="D41" s="22">
        <v>229527</v>
      </c>
    </row>
    <row r="42" spans="1:5" x14ac:dyDescent="0.35">
      <c r="A42" s="20" t="s">
        <v>171</v>
      </c>
      <c r="B42" s="20" t="s">
        <v>84</v>
      </c>
      <c r="C42" s="21"/>
      <c r="D42" s="22">
        <v>179700</v>
      </c>
    </row>
    <row r="43" spans="1:5" x14ac:dyDescent="0.35">
      <c r="A43" s="2" t="s">
        <v>172</v>
      </c>
      <c r="D43" s="23">
        <f>SUM(D37:D42)</f>
        <v>69919385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E59"/>
  <sheetViews>
    <sheetView zoomScaleNormal="100" workbookViewId="0">
      <pane ySplit="4" topLeftCell="A42" activePane="bottomLeft" state="frozen"/>
      <selection pane="bottomLeft" activeCell="B36" sqref="B36"/>
    </sheetView>
  </sheetViews>
  <sheetFormatPr baseColWidth="10" defaultColWidth="8.6328125" defaultRowHeight="14.5" x14ac:dyDescent="0.35"/>
  <cols>
    <col min="1" max="1" width="42" customWidth="1"/>
    <col min="2" max="2" width="38" customWidth="1"/>
    <col min="3" max="3" width="14" customWidth="1"/>
    <col min="4" max="4" width="16" customWidth="1"/>
    <col min="5" max="5" width="50" customWidth="1"/>
  </cols>
  <sheetData>
    <row r="1" spans="1:5" ht="18" x14ac:dyDescent="0.4">
      <c r="A1" s="1" t="s">
        <v>173</v>
      </c>
    </row>
    <row r="2" spans="1:5" x14ac:dyDescent="0.35">
      <c r="A2" s="2" t="s">
        <v>174</v>
      </c>
    </row>
    <row r="4" spans="1:5" ht="15.5" x14ac:dyDescent="0.35">
      <c r="A4" s="5" t="s">
        <v>175</v>
      </c>
      <c r="B4" s="5" t="s">
        <v>115</v>
      </c>
      <c r="C4" s="5" t="s">
        <v>116</v>
      </c>
      <c r="D4" s="5" t="s">
        <v>117</v>
      </c>
      <c r="E4" s="5" t="s">
        <v>103</v>
      </c>
    </row>
    <row r="5" spans="1:5" x14ac:dyDescent="0.35">
      <c r="A5" s="6" t="s">
        <v>176</v>
      </c>
      <c r="B5" s="6" t="s">
        <v>88</v>
      </c>
      <c r="C5" s="6" t="s">
        <v>119</v>
      </c>
      <c r="D5" s="15">
        <v>11000000</v>
      </c>
      <c r="E5" s="8" t="s">
        <v>177</v>
      </c>
    </row>
    <row r="6" spans="1:5" x14ac:dyDescent="0.35">
      <c r="A6" s="6" t="s">
        <v>178</v>
      </c>
      <c r="B6" s="6" t="s">
        <v>132</v>
      </c>
      <c r="C6" s="6" t="s">
        <v>129</v>
      </c>
      <c r="D6" s="15">
        <v>114800000</v>
      </c>
      <c r="E6" s="8" t="s">
        <v>179</v>
      </c>
    </row>
    <row r="7" spans="1:5" x14ac:dyDescent="0.35">
      <c r="A7" s="6" t="s">
        <v>180</v>
      </c>
      <c r="B7" s="6" t="s">
        <v>88</v>
      </c>
      <c r="C7" s="6" t="s">
        <v>119</v>
      </c>
      <c r="D7" s="15">
        <v>33000000</v>
      </c>
      <c r="E7" s="8" t="s">
        <v>181</v>
      </c>
    </row>
    <row r="8" spans="1:5" x14ac:dyDescent="0.35">
      <c r="A8" s="6" t="s">
        <v>182</v>
      </c>
      <c r="B8" s="6" t="s">
        <v>84</v>
      </c>
      <c r="C8" s="6" t="s">
        <v>119</v>
      </c>
      <c r="D8" s="15">
        <v>9001000</v>
      </c>
      <c r="E8" s="8" t="s">
        <v>183</v>
      </c>
    </row>
    <row r="9" spans="1:5" ht="29" x14ac:dyDescent="0.35">
      <c r="A9" s="6" t="s">
        <v>184</v>
      </c>
      <c r="B9" s="6" t="s">
        <v>185</v>
      </c>
      <c r="C9" s="6" t="s">
        <v>129</v>
      </c>
      <c r="D9" s="15">
        <v>2424352</v>
      </c>
      <c r="E9" s="8" t="s">
        <v>186</v>
      </c>
    </row>
    <row r="10" spans="1:5" x14ac:dyDescent="0.35">
      <c r="A10" s="6" t="s">
        <v>187</v>
      </c>
      <c r="B10" s="6" t="s">
        <v>188</v>
      </c>
      <c r="C10" s="6" t="s">
        <v>129</v>
      </c>
      <c r="D10" s="15">
        <v>0</v>
      </c>
      <c r="E10" s="8"/>
    </row>
    <row r="11" spans="1:5" x14ac:dyDescent="0.35">
      <c r="A11" s="6" t="s">
        <v>189</v>
      </c>
      <c r="B11" s="6" t="s">
        <v>88</v>
      </c>
      <c r="C11" s="6" t="s">
        <v>119</v>
      </c>
      <c r="D11" s="15">
        <v>602227</v>
      </c>
      <c r="E11" s="8" t="s">
        <v>190</v>
      </c>
    </row>
    <row r="12" spans="1:5" x14ac:dyDescent="0.35">
      <c r="A12" s="6" t="s">
        <v>191</v>
      </c>
      <c r="B12" s="6" t="s">
        <v>84</v>
      </c>
      <c r="C12" s="6" t="s">
        <v>119</v>
      </c>
      <c r="D12" s="15">
        <v>331000</v>
      </c>
      <c r="E12" s="8" t="s">
        <v>192</v>
      </c>
    </row>
    <row r="13" spans="1:5" x14ac:dyDescent="0.35">
      <c r="A13" s="6" t="s">
        <v>193</v>
      </c>
      <c r="B13" s="6" t="s">
        <v>88</v>
      </c>
      <c r="C13" s="6" t="s">
        <v>119</v>
      </c>
      <c r="D13" s="15">
        <v>127137377</v>
      </c>
      <c r="E13" s="8" t="s">
        <v>194</v>
      </c>
    </row>
    <row r="14" spans="1:5" x14ac:dyDescent="0.35">
      <c r="A14" s="6" t="s">
        <v>195</v>
      </c>
      <c r="B14" s="6" t="s">
        <v>84</v>
      </c>
      <c r="C14" s="6" t="s">
        <v>119</v>
      </c>
      <c r="D14" s="15">
        <v>2530189</v>
      </c>
      <c r="E14" s="8" t="s">
        <v>194</v>
      </c>
    </row>
    <row r="15" spans="1:5" x14ac:dyDescent="0.35">
      <c r="A15" s="6" t="s">
        <v>196</v>
      </c>
      <c r="B15" s="6" t="s">
        <v>88</v>
      </c>
      <c r="C15" s="6" t="s">
        <v>119</v>
      </c>
      <c r="D15" s="15">
        <v>227000</v>
      </c>
      <c r="E15" s="8" t="s">
        <v>194</v>
      </c>
    </row>
    <row r="16" spans="1:5" x14ac:dyDescent="0.35">
      <c r="A16" s="6" t="s">
        <v>197</v>
      </c>
      <c r="B16" s="6" t="s">
        <v>84</v>
      </c>
      <c r="C16" s="6" t="s">
        <v>119</v>
      </c>
      <c r="D16" s="15">
        <v>130497907</v>
      </c>
      <c r="E16" s="8" t="s">
        <v>194</v>
      </c>
    </row>
    <row r="17" spans="1:5" x14ac:dyDescent="0.35">
      <c r="A17" s="24" t="s">
        <v>198</v>
      </c>
      <c r="B17" s="24" t="s">
        <v>199</v>
      </c>
      <c r="C17" s="24" t="s">
        <v>200</v>
      </c>
      <c r="D17" s="25">
        <v>834889277</v>
      </c>
      <c r="E17" s="26" t="s">
        <v>201</v>
      </c>
    </row>
    <row r="18" spans="1:5" x14ac:dyDescent="0.35">
      <c r="A18" s="6" t="s">
        <v>202</v>
      </c>
      <c r="B18" s="6" t="s">
        <v>125</v>
      </c>
      <c r="C18" s="6" t="s">
        <v>126</v>
      </c>
      <c r="D18" s="15">
        <v>46102759</v>
      </c>
      <c r="E18" s="8"/>
    </row>
    <row r="19" spans="1:5" x14ac:dyDescent="0.35">
      <c r="A19" s="6" t="s">
        <v>203</v>
      </c>
      <c r="B19" s="6" t="s">
        <v>88</v>
      </c>
      <c r="C19" s="6" t="s">
        <v>119</v>
      </c>
      <c r="D19" s="15">
        <v>5000200</v>
      </c>
      <c r="E19" s="8" t="s">
        <v>194</v>
      </c>
    </row>
    <row r="20" spans="1:5" x14ac:dyDescent="0.35">
      <c r="A20" s="6" t="s">
        <v>204</v>
      </c>
      <c r="B20" s="6" t="s">
        <v>128</v>
      </c>
      <c r="C20" s="6" t="s">
        <v>129</v>
      </c>
      <c r="D20" s="15">
        <v>33869908</v>
      </c>
      <c r="E20" s="8" t="s">
        <v>194</v>
      </c>
    </row>
    <row r="21" spans="1:5" x14ac:dyDescent="0.35">
      <c r="A21" s="6" t="s">
        <v>205</v>
      </c>
      <c r="B21" s="6" t="s">
        <v>88</v>
      </c>
      <c r="C21" s="6" t="s">
        <v>119</v>
      </c>
      <c r="D21" s="15">
        <v>0</v>
      </c>
      <c r="E21" s="8"/>
    </row>
    <row r="22" spans="1:5" x14ac:dyDescent="0.35">
      <c r="A22" s="6" t="s">
        <v>206</v>
      </c>
      <c r="B22" s="6" t="s">
        <v>84</v>
      </c>
      <c r="C22" s="6" t="s">
        <v>119</v>
      </c>
      <c r="D22" s="15">
        <v>0</v>
      </c>
      <c r="E22" s="8"/>
    </row>
    <row r="23" spans="1:5" x14ac:dyDescent="0.35">
      <c r="A23" s="6" t="s">
        <v>207</v>
      </c>
      <c r="B23" s="6" t="s">
        <v>84</v>
      </c>
      <c r="C23" s="6" t="s">
        <v>119</v>
      </c>
      <c r="D23" s="15">
        <v>0</v>
      </c>
      <c r="E23" s="8"/>
    </row>
    <row r="24" spans="1:5" x14ac:dyDescent="0.35">
      <c r="A24" s="6" t="s">
        <v>208</v>
      </c>
      <c r="B24" s="6" t="s">
        <v>88</v>
      </c>
      <c r="C24" s="6" t="s">
        <v>119</v>
      </c>
      <c r="D24" s="15">
        <v>0</v>
      </c>
      <c r="E24" s="8"/>
    </row>
    <row r="25" spans="1:5" x14ac:dyDescent="0.35">
      <c r="A25" s="6" t="s">
        <v>209</v>
      </c>
      <c r="B25" s="6" t="s">
        <v>84</v>
      </c>
      <c r="C25" s="6" t="s">
        <v>119</v>
      </c>
      <c r="D25" s="15">
        <v>0</v>
      </c>
      <c r="E25" s="8"/>
    </row>
    <row r="26" spans="1:5" x14ac:dyDescent="0.35">
      <c r="A26" s="6" t="s">
        <v>210</v>
      </c>
      <c r="B26" s="6" t="s">
        <v>157</v>
      </c>
      <c r="C26" s="6" t="s">
        <v>129</v>
      </c>
      <c r="D26" s="15">
        <v>198000000</v>
      </c>
      <c r="E26" s="8" t="s">
        <v>194</v>
      </c>
    </row>
    <row r="27" spans="1:5" x14ac:dyDescent="0.35">
      <c r="A27" s="6" t="s">
        <v>211</v>
      </c>
      <c r="B27" s="6" t="s">
        <v>132</v>
      </c>
      <c r="C27" s="6" t="s">
        <v>129</v>
      </c>
      <c r="D27" s="15">
        <v>68985812</v>
      </c>
      <c r="E27" s="8" t="s">
        <v>194</v>
      </c>
    </row>
    <row r="28" spans="1:5" x14ac:dyDescent="0.35">
      <c r="A28" s="6" t="s">
        <v>212</v>
      </c>
      <c r="B28" s="6" t="s">
        <v>88</v>
      </c>
      <c r="C28" s="6" t="s">
        <v>119</v>
      </c>
      <c r="D28" s="15">
        <v>12869153</v>
      </c>
      <c r="E28" s="8" t="s">
        <v>194</v>
      </c>
    </row>
    <row r="29" spans="1:5" x14ac:dyDescent="0.35">
      <c r="A29" s="6" t="s">
        <v>213</v>
      </c>
      <c r="B29" s="6" t="s">
        <v>84</v>
      </c>
      <c r="C29" s="6" t="s">
        <v>119</v>
      </c>
      <c r="D29" s="15">
        <v>31287000</v>
      </c>
      <c r="E29" s="8" t="s">
        <v>194</v>
      </c>
    </row>
    <row r="30" spans="1:5" x14ac:dyDescent="0.35">
      <c r="A30" s="6" t="s">
        <v>214</v>
      </c>
      <c r="B30" s="6" t="s">
        <v>135</v>
      </c>
      <c r="C30" s="6" t="s">
        <v>129</v>
      </c>
      <c r="D30" s="15">
        <v>111896190</v>
      </c>
      <c r="E30" s="8" t="s">
        <v>194</v>
      </c>
    </row>
    <row r="31" spans="1:5" x14ac:dyDescent="0.35">
      <c r="A31" s="6" t="s">
        <v>215</v>
      </c>
      <c r="B31" s="6" t="s">
        <v>88</v>
      </c>
      <c r="C31" s="6" t="s">
        <v>119</v>
      </c>
      <c r="D31" s="15">
        <v>22413824</v>
      </c>
      <c r="E31" s="8" t="s">
        <v>216</v>
      </c>
    </row>
    <row r="32" spans="1:5" x14ac:dyDescent="0.35">
      <c r="A32" s="6" t="s">
        <v>217</v>
      </c>
      <c r="B32" s="6" t="s">
        <v>84</v>
      </c>
      <c r="C32" s="6" t="s">
        <v>119</v>
      </c>
      <c r="D32" s="15">
        <v>104195</v>
      </c>
      <c r="E32" s="8" t="s">
        <v>218</v>
      </c>
    </row>
    <row r="33" spans="1:5" x14ac:dyDescent="0.35">
      <c r="A33" s="6" t="s">
        <v>219</v>
      </c>
      <c r="B33" s="6" t="s">
        <v>88</v>
      </c>
      <c r="C33" s="6" t="s">
        <v>119</v>
      </c>
      <c r="D33" s="15">
        <v>692208</v>
      </c>
      <c r="E33" s="8" t="s">
        <v>220</v>
      </c>
    </row>
    <row r="34" spans="1:5" x14ac:dyDescent="0.35">
      <c r="A34" s="6" t="s">
        <v>221</v>
      </c>
      <c r="B34" s="6" t="s">
        <v>84</v>
      </c>
      <c r="C34" s="6" t="s">
        <v>119</v>
      </c>
      <c r="D34" s="15">
        <v>64823142</v>
      </c>
      <c r="E34" s="8" t="s">
        <v>222</v>
      </c>
    </row>
    <row r="35" spans="1:5" x14ac:dyDescent="0.35">
      <c r="A35" s="6" t="s">
        <v>223</v>
      </c>
      <c r="B35" s="6" t="s">
        <v>88</v>
      </c>
      <c r="C35" s="6" t="s">
        <v>119</v>
      </c>
      <c r="D35" s="15">
        <v>2291596</v>
      </c>
      <c r="E35" s="8" t="s">
        <v>222</v>
      </c>
    </row>
    <row r="36" spans="1:5" ht="58" x14ac:dyDescent="0.35">
      <c r="A36" s="24" t="s">
        <v>224</v>
      </c>
      <c r="B36" s="24" t="s">
        <v>225</v>
      </c>
      <c r="C36" s="24" t="s">
        <v>119</v>
      </c>
      <c r="D36" s="27">
        <f>150000*913.86</f>
        <v>137079000</v>
      </c>
      <c r="E36" s="26" t="s">
        <v>226</v>
      </c>
    </row>
    <row r="37" spans="1:5" x14ac:dyDescent="0.35">
      <c r="A37" s="16" t="s">
        <v>227</v>
      </c>
      <c r="B37" s="17"/>
      <c r="C37" s="17"/>
      <c r="D37" s="18">
        <f>SUM(D5:D36)</f>
        <v>2001855316</v>
      </c>
      <c r="E37" s="17"/>
    </row>
    <row r="38" spans="1:5" x14ac:dyDescent="0.35">
      <c r="A38" s="16" t="s">
        <v>228</v>
      </c>
      <c r="B38" s="17"/>
      <c r="C38" s="17"/>
      <c r="D38" s="18">
        <f>SUMIF(C5:C36,"Familia",D5:D36)</f>
        <v>590887018</v>
      </c>
      <c r="E38" s="17"/>
    </row>
    <row r="40" spans="1:5" x14ac:dyDescent="0.35">
      <c r="A40" s="19" t="s">
        <v>163</v>
      </c>
    </row>
    <row r="41" spans="1:5" ht="31" x14ac:dyDescent="0.35">
      <c r="A41" s="5" t="s">
        <v>229</v>
      </c>
      <c r="B41" s="5" t="s">
        <v>165</v>
      </c>
      <c r="C41" s="5" t="s">
        <v>117</v>
      </c>
      <c r="D41" s="5" t="s">
        <v>103</v>
      </c>
    </row>
    <row r="42" spans="1:5" x14ac:dyDescent="0.35">
      <c r="A42" s="20" t="s">
        <v>230</v>
      </c>
      <c r="B42" s="20" t="s">
        <v>84</v>
      </c>
      <c r="C42" s="22">
        <v>29341138</v>
      </c>
    </row>
    <row r="43" spans="1:5" x14ac:dyDescent="0.35">
      <c r="A43" s="20" t="s">
        <v>231</v>
      </c>
      <c r="B43" s="20" t="s">
        <v>84</v>
      </c>
      <c r="C43" s="22">
        <v>138427987</v>
      </c>
    </row>
    <row r="44" spans="1:5" x14ac:dyDescent="0.35">
      <c r="A44" s="20" t="s">
        <v>232</v>
      </c>
      <c r="B44" s="20" t="s">
        <v>84</v>
      </c>
      <c r="C44" s="22">
        <v>17906187</v>
      </c>
    </row>
    <row r="45" spans="1:5" x14ac:dyDescent="0.35">
      <c r="A45" s="20" t="s">
        <v>232</v>
      </c>
      <c r="B45" s="20" t="s">
        <v>84</v>
      </c>
      <c r="C45" s="22">
        <v>26380233</v>
      </c>
    </row>
    <row r="46" spans="1:5" x14ac:dyDescent="0.35">
      <c r="A46" s="20" t="s">
        <v>233</v>
      </c>
      <c r="B46" s="20" t="s">
        <v>84</v>
      </c>
      <c r="C46" s="22">
        <v>1975623</v>
      </c>
    </row>
    <row r="47" spans="1:5" x14ac:dyDescent="0.35">
      <c r="A47" s="20" t="s">
        <v>234</v>
      </c>
      <c r="B47" s="20" t="s">
        <v>84</v>
      </c>
      <c r="C47" s="22">
        <v>9041282</v>
      </c>
    </row>
    <row r="48" spans="1:5" x14ac:dyDescent="0.35">
      <c r="A48" s="20" t="s">
        <v>235</v>
      </c>
      <c r="B48" s="20" t="s">
        <v>88</v>
      </c>
      <c r="C48" s="22">
        <v>15289310</v>
      </c>
    </row>
    <row r="49" spans="1:3" x14ac:dyDescent="0.35">
      <c r="A49" s="20" t="s">
        <v>230</v>
      </c>
      <c r="B49" s="20" t="s">
        <v>88</v>
      </c>
      <c r="C49" s="22">
        <v>12133240</v>
      </c>
    </row>
    <row r="50" spans="1:3" x14ac:dyDescent="0.35">
      <c r="A50" s="20" t="s">
        <v>230</v>
      </c>
      <c r="B50" s="20" t="s">
        <v>88</v>
      </c>
      <c r="C50" s="22">
        <v>29409681</v>
      </c>
    </row>
    <row r="51" spans="1:3" x14ac:dyDescent="0.35">
      <c r="A51" s="20" t="s">
        <v>232</v>
      </c>
      <c r="B51" s="20" t="s">
        <v>88</v>
      </c>
      <c r="C51" s="22">
        <v>5196</v>
      </c>
    </row>
    <row r="52" spans="1:3" x14ac:dyDescent="0.35">
      <c r="A52" s="20" t="s">
        <v>236</v>
      </c>
      <c r="B52" s="20" t="s">
        <v>84</v>
      </c>
      <c r="C52" s="22">
        <v>7316362</v>
      </c>
    </row>
    <row r="53" spans="1:3" x14ac:dyDescent="0.35">
      <c r="A53" s="20" t="s">
        <v>237</v>
      </c>
      <c r="B53" s="20" t="s">
        <v>88</v>
      </c>
      <c r="C53" s="22">
        <v>9173229</v>
      </c>
    </row>
    <row r="54" spans="1:3" x14ac:dyDescent="0.35">
      <c r="A54" s="20" t="s">
        <v>238</v>
      </c>
      <c r="B54" s="20" t="s">
        <v>84</v>
      </c>
      <c r="C54" s="22">
        <v>344219</v>
      </c>
    </row>
    <row r="55" spans="1:3" x14ac:dyDescent="0.35">
      <c r="A55" s="20" t="s">
        <v>239</v>
      </c>
      <c r="B55" s="20" t="s">
        <v>84</v>
      </c>
      <c r="C55" s="22">
        <v>1274938</v>
      </c>
    </row>
    <row r="56" spans="1:3" x14ac:dyDescent="0.35">
      <c r="A56" s="20" t="s">
        <v>240</v>
      </c>
      <c r="B56" s="20" t="s">
        <v>88</v>
      </c>
      <c r="C56" s="22">
        <v>29018349</v>
      </c>
    </row>
    <row r="57" spans="1:3" x14ac:dyDescent="0.35">
      <c r="A57" s="20" t="s">
        <v>241</v>
      </c>
      <c r="B57" s="20" t="s">
        <v>84</v>
      </c>
      <c r="C57" s="22">
        <v>24268747</v>
      </c>
    </row>
    <row r="58" spans="1:3" x14ac:dyDescent="0.35">
      <c r="A58" s="20" t="s">
        <v>242</v>
      </c>
      <c r="B58" s="20" t="s">
        <v>84</v>
      </c>
      <c r="C58" s="22">
        <v>709110</v>
      </c>
    </row>
    <row r="59" spans="1:3" x14ac:dyDescent="0.35">
      <c r="A59" s="2" t="s">
        <v>172</v>
      </c>
      <c r="C59" s="23">
        <f>SUM(C42:C58)</f>
        <v>352014831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6A6A6"/>
  </sheetPr>
  <dimension ref="A1:B31"/>
  <sheetViews>
    <sheetView zoomScale="95" zoomScaleNormal="95" workbookViewId="0">
      <pane ySplit="3" topLeftCell="A20" activePane="bottomLeft" state="frozen"/>
      <selection pane="bottomLeft" activeCell="G27" sqref="G27"/>
    </sheetView>
  </sheetViews>
  <sheetFormatPr baseColWidth="10" defaultColWidth="8.6328125" defaultRowHeight="14.5" x14ac:dyDescent="0.35"/>
  <cols>
    <col min="1" max="1" width="50" customWidth="1"/>
    <col min="2" max="2" width="20" customWidth="1"/>
  </cols>
  <sheetData>
    <row r="1" spans="1:2" ht="18" x14ac:dyDescent="0.4">
      <c r="A1" s="1" t="s">
        <v>243</v>
      </c>
    </row>
    <row r="2" spans="1:2" ht="58" x14ac:dyDescent="0.35">
      <c r="A2" s="14" t="s">
        <v>244</v>
      </c>
    </row>
    <row r="4" spans="1:2" x14ac:dyDescent="0.35">
      <c r="A4" s="3" t="s">
        <v>245</v>
      </c>
      <c r="B4" s="28"/>
    </row>
    <row r="5" spans="1:2" ht="15.5" x14ac:dyDescent="0.35">
      <c r="A5" s="5" t="s">
        <v>246</v>
      </c>
      <c r="B5" s="5" t="s">
        <v>117</v>
      </c>
    </row>
    <row r="6" spans="1:2" x14ac:dyDescent="0.35">
      <c r="A6" s="6" t="s">
        <v>247</v>
      </c>
      <c r="B6" s="15">
        <v>-45000000</v>
      </c>
    </row>
    <row r="7" spans="1:2" x14ac:dyDescent="0.35">
      <c r="A7" s="6" t="s">
        <v>248</v>
      </c>
      <c r="B7" s="15">
        <v>-80000000</v>
      </c>
    </row>
    <row r="8" spans="1:2" x14ac:dyDescent="0.35">
      <c r="A8" s="6" t="s">
        <v>249</v>
      </c>
      <c r="B8" s="15">
        <v>-50000000</v>
      </c>
    </row>
    <row r="9" spans="1:2" x14ac:dyDescent="0.35">
      <c r="A9" s="6" t="s">
        <v>250</v>
      </c>
      <c r="B9" s="15">
        <v>-90000000</v>
      </c>
    </row>
    <row r="10" spans="1:2" x14ac:dyDescent="0.35">
      <c r="A10" s="29" t="s">
        <v>251</v>
      </c>
      <c r="B10" s="30">
        <f>SUM(B6:B9)</f>
        <v>-265000000</v>
      </c>
    </row>
    <row r="12" spans="1:2" x14ac:dyDescent="0.35">
      <c r="A12" s="3" t="s">
        <v>252</v>
      </c>
      <c r="B12" s="28"/>
    </row>
    <row r="13" spans="1:2" ht="15.5" x14ac:dyDescent="0.35">
      <c r="A13" s="5" t="s">
        <v>246</v>
      </c>
      <c r="B13" s="5" t="s">
        <v>117</v>
      </c>
    </row>
    <row r="14" spans="1:2" x14ac:dyDescent="0.35">
      <c r="A14" s="6" t="s">
        <v>253</v>
      </c>
      <c r="B14" s="15">
        <v>100000</v>
      </c>
    </row>
    <row r="15" spans="1:2" x14ac:dyDescent="0.35">
      <c r="A15" s="6" t="s">
        <v>254</v>
      </c>
      <c r="B15" s="15">
        <v>0</v>
      </c>
    </row>
    <row r="16" spans="1:2" x14ac:dyDescent="0.35">
      <c r="A16" s="6" t="s">
        <v>255</v>
      </c>
      <c r="B16" s="15">
        <v>990000</v>
      </c>
    </row>
    <row r="17" spans="1:2" x14ac:dyDescent="0.35">
      <c r="A17" s="6" t="s">
        <v>256</v>
      </c>
      <c r="B17" s="15">
        <v>0</v>
      </c>
    </row>
    <row r="18" spans="1:2" x14ac:dyDescent="0.35">
      <c r="A18" s="6" t="s">
        <v>257</v>
      </c>
      <c r="B18" s="15">
        <v>3735175</v>
      </c>
    </row>
    <row r="19" spans="1:2" x14ac:dyDescent="0.35">
      <c r="A19" s="6" t="s">
        <v>258</v>
      </c>
      <c r="B19" s="15">
        <v>0</v>
      </c>
    </row>
    <row r="20" spans="1:2" x14ac:dyDescent="0.35">
      <c r="A20" s="6" t="s">
        <v>259</v>
      </c>
      <c r="B20" s="15">
        <v>75252065</v>
      </c>
    </row>
    <row r="21" spans="1:2" x14ac:dyDescent="0.35">
      <c r="A21" s="29" t="s">
        <v>260</v>
      </c>
      <c r="B21" s="30">
        <f>SUM(B14:B20)</f>
        <v>80077240</v>
      </c>
    </row>
    <row r="23" spans="1:2" x14ac:dyDescent="0.35">
      <c r="A23" s="3" t="s">
        <v>261</v>
      </c>
      <c r="B23" s="28"/>
    </row>
    <row r="24" spans="1:2" ht="15.5" x14ac:dyDescent="0.35">
      <c r="A24" s="5" t="s">
        <v>246</v>
      </c>
      <c r="B24" s="5" t="s">
        <v>117</v>
      </c>
    </row>
    <row r="25" spans="1:2" x14ac:dyDescent="0.35">
      <c r="A25" s="6" t="s">
        <v>262</v>
      </c>
      <c r="B25" s="15">
        <v>15456</v>
      </c>
    </row>
    <row r="26" spans="1:2" x14ac:dyDescent="0.35">
      <c r="A26" s="6" t="s">
        <v>263</v>
      </c>
      <c r="B26" s="15">
        <v>155456</v>
      </c>
    </row>
    <row r="27" spans="1:2" x14ac:dyDescent="0.35">
      <c r="A27" s="6" t="s">
        <v>264</v>
      </c>
      <c r="B27" s="15">
        <v>54</v>
      </c>
    </row>
    <row r="28" spans="1:2" x14ac:dyDescent="0.35">
      <c r="A28" s="6" t="s">
        <v>265</v>
      </c>
      <c r="B28" s="15">
        <v>4672</v>
      </c>
    </row>
    <row r="29" spans="1:2" x14ac:dyDescent="0.35">
      <c r="A29" s="6" t="s">
        <v>266</v>
      </c>
      <c r="B29" s="15">
        <v>0</v>
      </c>
    </row>
    <row r="30" spans="1:2" x14ac:dyDescent="0.35">
      <c r="A30" s="6" t="s">
        <v>267</v>
      </c>
      <c r="B30" s="15">
        <v>39000000</v>
      </c>
    </row>
    <row r="31" spans="1:2" x14ac:dyDescent="0.35">
      <c r="A31" s="29" t="s">
        <v>260</v>
      </c>
      <c r="B31" s="30">
        <f>SUM(B25:B30)</f>
        <v>39175638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N39"/>
  <sheetViews>
    <sheetView zoomScale="63" zoomScaleNormal="63" workbookViewId="0">
      <pane ySplit="4" topLeftCell="A20" activePane="bottomLeft" state="frozen"/>
      <selection pane="bottomLeft" activeCell="C42" sqref="C42"/>
    </sheetView>
  </sheetViews>
  <sheetFormatPr baseColWidth="10" defaultColWidth="8.6328125" defaultRowHeight="14.5" x14ac:dyDescent="0.35"/>
  <cols>
    <col min="1" max="1" width="25.6328125" customWidth="1"/>
    <col min="2" max="2" width="16" customWidth="1"/>
    <col min="3" max="3" width="34" customWidth="1"/>
    <col min="4" max="4" width="13.81640625" bestFit="1" customWidth="1"/>
    <col min="5" max="5" width="12" customWidth="1"/>
    <col min="6" max="6" width="10" customWidth="1"/>
    <col min="7" max="7" width="26" customWidth="1"/>
    <col min="8" max="9" width="18" customWidth="1"/>
    <col min="10" max="10" width="13" customWidth="1"/>
    <col min="11" max="12" width="18" customWidth="1"/>
    <col min="13" max="13" width="29.36328125" customWidth="1"/>
  </cols>
  <sheetData>
    <row r="1" spans="1:14" ht="18" x14ac:dyDescent="0.4">
      <c r="A1" s="1" t="s">
        <v>268</v>
      </c>
    </row>
    <row r="2" spans="1:14" ht="34" customHeight="1" x14ac:dyDescent="0.35">
      <c r="A2" s="14" t="s">
        <v>269</v>
      </c>
    </row>
    <row r="4" spans="1:14" ht="46.5" x14ac:dyDescent="0.35">
      <c r="A4" s="5" t="s">
        <v>270</v>
      </c>
      <c r="B4" s="5" t="s">
        <v>271</v>
      </c>
      <c r="C4" s="5" t="s">
        <v>272</v>
      </c>
      <c r="D4" s="5" t="s">
        <v>273</v>
      </c>
      <c r="E4" s="5" t="s">
        <v>274</v>
      </c>
      <c r="F4" s="5" t="s">
        <v>275</v>
      </c>
      <c r="G4" s="5" t="s">
        <v>165</v>
      </c>
      <c r="H4" s="5" t="s">
        <v>276</v>
      </c>
      <c r="I4" s="5" t="s">
        <v>277</v>
      </c>
      <c r="J4" s="5" t="s">
        <v>278</v>
      </c>
      <c r="K4" s="5" t="s">
        <v>279</v>
      </c>
      <c r="L4" s="5" t="s">
        <v>280</v>
      </c>
      <c r="M4" s="5" t="s">
        <v>281</v>
      </c>
      <c r="N4" s="79" t="s">
        <v>690</v>
      </c>
    </row>
    <row r="5" spans="1:14" x14ac:dyDescent="0.35">
      <c r="A5" s="12">
        <v>1</v>
      </c>
      <c r="B5" s="12" t="s">
        <v>282</v>
      </c>
      <c r="C5" s="12" t="s">
        <v>283</v>
      </c>
      <c r="D5" s="12" t="s">
        <v>284</v>
      </c>
      <c r="E5" s="12" t="s">
        <v>285</v>
      </c>
      <c r="F5" s="12">
        <v>101</v>
      </c>
      <c r="G5" s="12" t="s">
        <v>657</v>
      </c>
      <c r="H5" s="15">
        <v>225007612</v>
      </c>
      <c r="I5" s="31"/>
      <c r="J5" s="32">
        <v>0.5</v>
      </c>
      <c r="K5" s="33">
        <f>IF(I5&gt;0,I5,IF(H5&gt;0,H5*Supuestos!$B$8,0))</f>
        <v>528767888.20000005</v>
      </c>
      <c r="L5" s="33">
        <f t="shared" ref="L5:L38" si="0">K5*J5</f>
        <v>264383944.10000002</v>
      </c>
      <c r="M5" s="6" t="str">
        <f t="shared" ref="M5:M38" si="1">IF(I5&gt;0,"Tasación directa/comercial",IF(H5&gt;0,"Avalúo Fiscal x factor (proxy)","PENDIENTE — sin dato"))</f>
        <v>Avalúo Fiscal x factor (proxy)</v>
      </c>
    </row>
    <row r="6" spans="1:14" x14ac:dyDescent="0.35">
      <c r="A6" s="12">
        <v>2</v>
      </c>
      <c r="B6" s="12" t="s">
        <v>286</v>
      </c>
      <c r="C6" s="12" t="s">
        <v>287</v>
      </c>
      <c r="D6" s="12" t="s">
        <v>284</v>
      </c>
      <c r="E6" s="12" t="s">
        <v>288</v>
      </c>
      <c r="F6" s="12">
        <v>26</v>
      </c>
      <c r="G6" s="12" t="s">
        <v>657</v>
      </c>
      <c r="H6" s="15">
        <v>42065479</v>
      </c>
      <c r="I6" s="31"/>
      <c r="J6" s="32">
        <v>0.5</v>
      </c>
      <c r="K6" s="33">
        <f>IF(I6&gt;0,I6,IF(H6&gt;0,H6*Supuestos!$B$8,0))</f>
        <v>98853875.650000006</v>
      </c>
      <c r="L6" s="33">
        <f t="shared" si="0"/>
        <v>49426937.825000003</v>
      </c>
      <c r="M6" s="6" t="str">
        <f t="shared" si="1"/>
        <v>Avalúo Fiscal x factor (proxy)</v>
      </c>
    </row>
    <row r="7" spans="1:14" x14ac:dyDescent="0.35">
      <c r="A7" s="12">
        <v>3</v>
      </c>
      <c r="B7" s="12" t="s">
        <v>289</v>
      </c>
      <c r="C7" s="12" t="s">
        <v>290</v>
      </c>
      <c r="D7" s="12" t="s">
        <v>284</v>
      </c>
      <c r="E7" s="12" t="s">
        <v>291</v>
      </c>
      <c r="F7" s="12">
        <v>120</v>
      </c>
      <c r="G7" s="12" t="s">
        <v>657</v>
      </c>
      <c r="H7" s="15">
        <v>208548956</v>
      </c>
      <c r="I7" s="31"/>
      <c r="J7" s="32">
        <v>0.5</v>
      </c>
      <c r="K7" s="33">
        <f>IF(I7&gt;0,I7,IF(H7&gt;0,H7*Supuestos!$B$8,0))</f>
        <v>490090046.60000002</v>
      </c>
      <c r="L7" s="33">
        <f t="shared" si="0"/>
        <v>245045023.30000001</v>
      </c>
      <c r="M7" s="6" t="str">
        <f t="shared" si="1"/>
        <v>Avalúo Fiscal x factor (proxy)</v>
      </c>
    </row>
    <row r="8" spans="1:14" x14ac:dyDescent="0.35">
      <c r="A8" s="12">
        <v>4</v>
      </c>
      <c r="B8" s="12" t="s">
        <v>289</v>
      </c>
      <c r="C8" s="12" t="s">
        <v>292</v>
      </c>
      <c r="D8" s="12" t="s">
        <v>284</v>
      </c>
      <c r="E8" s="12" t="s">
        <v>293</v>
      </c>
      <c r="F8" s="12">
        <v>120</v>
      </c>
      <c r="G8" s="12" t="s">
        <v>657</v>
      </c>
      <c r="H8" s="15">
        <v>312178031</v>
      </c>
      <c r="I8" s="31"/>
      <c r="J8" s="32">
        <v>0.5</v>
      </c>
      <c r="K8" s="33">
        <f>IF(I8&gt;0,I8,IF(H8&gt;0,H8*Supuestos!$B$8,0))</f>
        <v>733618372.85000002</v>
      </c>
      <c r="L8" s="33">
        <f t="shared" si="0"/>
        <v>366809186.42500001</v>
      </c>
      <c r="M8" s="6" t="str">
        <f t="shared" si="1"/>
        <v>Avalúo Fiscal x factor (proxy)</v>
      </c>
    </row>
    <row r="9" spans="1:14" x14ac:dyDescent="0.35">
      <c r="A9" s="12">
        <v>5</v>
      </c>
      <c r="B9" s="12" t="s">
        <v>289</v>
      </c>
      <c r="C9" s="12" t="s">
        <v>294</v>
      </c>
      <c r="D9" s="12" t="s">
        <v>284</v>
      </c>
      <c r="E9" s="12" t="s">
        <v>295</v>
      </c>
      <c r="F9" s="12">
        <v>110</v>
      </c>
      <c r="G9" s="12" t="s">
        <v>657</v>
      </c>
      <c r="H9" s="15">
        <v>202860587</v>
      </c>
      <c r="I9" s="31"/>
      <c r="J9" s="32">
        <v>0.5</v>
      </c>
      <c r="K9" s="33">
        <f>IF(I9&gt;0,I9,IF(H9&gt;0,H9*Supuestos!$B$8,0))</f>
        <v>476722379.45000005</v>
      </c>
      <c r="L9" s="33">
        <f t="shared" si="0"/>
        <v>238361189.72500002</v>
      </c>
      <c r="M9" s="6" t="str">
        <f t="shared" si="1"/>
        <v>Avalúo Fiscal x factor (proxy)</v>
      </c>
    </row>
    <row r="10" spans="1:14" x14ac:dyDescent="0.35">
      <c r="A10" s="12">
        <v>6</v>
      </c>
      <c r="B10" s="12" t="s">
        <v>289</v>
      </c>
      <c r="C10" s="12" t="s">
        <v>296</v>
      </c>
      <c r="D10" s="12" t="s">
        <v>284</v>
      </c>
      <c r="E10" s="12" t="s">
        <v>297</v>
      </c>
      <c r="F10" s="12">
        <v>110</v>
      </c>
      <c r="G10" s="12" t="s">
        <v>657</v>
      </c>
      <c r="H10" s="15">
        <v>198838652</v>
      </c>
      <c r="I10" s="31"/>
      <c r="J10" s="32">
        <v>0.5</v>
      </c>
      <c r="K10" s="33">
        <f>IF(I10&gt;0,I10,IF(H10&gt;0,H10*Supuestos!$B$8,0))</f>
        <v>467270832.19999999</v>
      </c>
      <c r="L10" s="33">
        <f t="shared" si="0"/>
        <v>233635416.09999999</v>
      </c>
      <c r="M10" s="6" t="str">
        <f t="shared" si="1"/>
        <v>Avalúo Fiscal x factor (proxy)</v>
      </c>
    </row>
    <row r="11" spans="1:14" x14ac:dyDescent="0.35">
      <c r="A11" s="12">
        <v>7</v>
      </c>
      <c r="B11" s="12" t="s">
        <v>286</v>
      </c>
      <c r="C11" s="12" t="s">
        <v>298</v>
      </c>
      <c r="D11" s="12" t="s">
        <v>284</v>
      </c>
      <c r="E11" s="12" t="s">
        <v>299</v>
      </c>
      <c r="F11" s="12">
        <v>48</v>
      </c>
      <c r="G11" s="12" t="s">
        <v>658</v>
      </c>
      <c r="H11" s="15">
        <v>66899039</v>
      </c>
      <c r="I11" s="31"/>
      <c r="J11" s="32">
        <v>1</v>
      </c>
      <c r="K11" s="33">
        <f>IF(I11&gt;0,I11,IF(H11&gt;0,H11*Supuestos!$B$8,0))</f>
        <v>157212741.65000001</v>
      </c>
      <c r="L11" s="33">
        <f t="shared" si="0"/>
        <v>157212741.65000001</v>
      </c>
      <c r="M11" s="6" t="str">
        <f t="shared" si="1"/>
        <v>Avalúo Fiscal x factor (proxy)</v>
      </c>
    </row>
    <row r="12" spans="1:14" x14ac:dyDescent="0.35">
      <c r="A12" s="12">
        <v>8</v>
      </c>
      <c r="B12" s="12" t="s">
        <v>300</v>
      </c>
      <c r="C12" s="12" t="s">
        <v>301</v>
      </c>
      <c r="D12" s="12" t="s">
        <v>284</v>
      </c>
      <c r="E12" s="12" t="s">
        <v>302</v>
      </c>
      <c r="F12" s="12">
        <v>26</v>
      </c>
      <c r="G12" s="12" t="s">
        <v>659</v>
      </c>
      <c r="H12" s="15">
        <v>91434415</v>
      </c>
      <c r="I12" s="31"/>
      <c r="J12" s="32">
        <v>0.5</v>
      </c>
      <c r="K12" s="33">
        <f>IF(I12&gt;0,I12,IF(H12&gt;0,H12*Supuestos!$B$8,0))</f>
        <v>214870875.25</v>
      </c>
      <c r="L12" s="33">
        <f t="shared" si="0"/>
        <v>107435437.625</v>
      </c>
      <c r="M12" s="6" t="str">
        <f t="shared" si="1"/>
        <v>Avalúo Fiscal x factor (proxy)</v>
      </c>
    </row>
    <row r="13" spans="1:14" x14ac:dyDescent="0.35">
      <c r="A13" s="12">
        <v>9</v>
      </c>
      <c r="B13" s="12" t="s">
        <v>300</v>
      </c>
      <c r="C13" s="12" t="s">
        <v>303</v>
      </c>
      <c r="D13" s="12" t="s">
        <v>284</v>
      </c>
      <c r="E13" s="12" t="s">
        <v>304</v>
      </c>
      <c r="F13" s="12">
        <v>26</v>
      </c>
      <c r="G13" s="12" t="s">
        <v>659</v>
      </c>
      <c r="H13" s="15">
        <v>91434415</v>
      </c>
      <c r="I13" s="31"/>
      <c r="J13" s="32">
        <v>0.5</v>
      </c>
      <c r="K13" s="33">
        <f>IF(I13&gt;0,I13,IF(H13&gt;0,H13*Supuestos!$B$8,0))</f>
        <v>214870875.25</v>
      </c>
      <c r="L13" s="33">
        <f t="shared" si="0"/>
        <v>107435437.625</v>
      </c>
      <c r="M13" s="6" t="str">
        <f t="shared" si="1"/>
        <v>Avalúo Fiscal x factor (proxy)</v>
      </c>
    </row>
    <row r="14" spans="1:14" x14ac:dyDescent="0.35">
      <c r="A14" s="12">
        <v>10</v>
      </c>
      <c r="B14" s="12" t="s">
        <v>300</v>
      </c>
      <c r="C14" s="12" t="s">
        <v>305</v>
      </c>
      <c r="D14" s="12" t="s">
        <v>284</v>
      </c>
      <c r="E14" s="12" t="s">
        <v>306</v>
      </c>
      <c r="F14" s="12">
        <v>26</v>
      </c>
      <c r="G14" s="12" t="s">
        <v>659</v>
      </c>
      <c r="H14" s="15">
        <v>71318577</v>
      </c>
      <c r="I14" s="31"/>
      <c r="J14" s="32">
        <v>0.5</v>
      </c>
      <c r="K14" s="33">
        <f>IF(I14&gt;0,I14,IF(H14&gt;0,H14*Supuestos!$B$8,0))</f>
        <v>167598655.95000002</v>
      </c>
      <c r="L14" s="33">
        <f t="shared" si="0"/>
        <v>83799327.975000009</v>
      </c>
      <c r="M14" s="6" t="str">
        <f t="shared" si="1"/>
        <v>Avalúo Fiscal x factor (proxy)</v>
      </c>
    </row>
    <row r="15" spans="1:14" x14ac:dyDescent="0.35">
      <c r="A15" s="12">
        <v>11</v>
      </c>
      <c r="B15" s="12" t="s">
        <v>282</v>
      </c>
      <c r="C15" s="12" t="s">
        <v>307</v>
      </c>
      <c r="D15" s="12" t="s">
        <v>308</v>
      </c>
      <c r="E15" s="12" t="s">
        <v>309</v>
      </c>
      <c r="F15" s="12">
        <v>54.63</v>
      </c>
      <c r="G15" s="12" t="s">
        <v>658</v>
      </c>
      <c r="H15" s="15">
        <v>57729170</v>
      </c>
      <c r="I15" s="31"/>
      <c r="J15" s="32">
        <v>1</v>
      </c>
      <c r="K15" s="33">
        <f>IF(I15&gt;0,I15,IF(H15&gt;0,H15*Supuestos!$B$8,0))</f>
        <v>135663549.5</v>
      </c>
      <c r="L15" s="33">
        <f t="shared" si="0"/>
        <v>135663549.5</v>
      </c>
      <c r="M15" s="6" t="str">
        <f t="shared" si="1"/>
        <v>Avalúo Fiscal x factor (proxy)</v>
      </c>
    </row>
    <row r="16" spans="1:14" x14ac:dyDescent="0.35">
      <c r="A16" s="12">
        <v>12</v>
      </c>
      <c r="B16" s="12" t="s">
        <v>282</v>
      </c>
      <c r="C16" s="12" t="s">
        <v>310</v>
      </c>
      <c r="D16" s="12" t="s">
        <v>308</v>
      </c>
      <c r="E16" s="12" t="s">
        <v>311</v>
      </c>
      <c r="F16" s="12">
        <v>54.63</v>
      </c>
      <c r="G16" s="12" t="s">
        <v>658</v>
      </c>
      <c r="H16" s="15">
        <v>57729170</v>
      </c>
      <c r="I16" s="31"/>
      <c r="J16" s="32">
        <v>1</v>
      </c>
      <c r="K16" s="33">
        <f>IF(I16&gt;0,I16,IF(H16&gt;0,H16*Supuestos!$B$8,0))</f>
        <v>135663549.5</v>
      </c>
      <c r="L16" s="33">
        <f t="shared" si="0"/>
        <v>135663549.5</v>
      </c>
      <c r="M16" s="6" t="str">
        <f t="shared" si="1"/>
        <v>Avalúo Fiscal x factor (proxy)</v>
      </c>
    </row>
    <row r="17" spans="1:13" x14ac:dyDescent="0.35">
      <c r="A17" s="12">
        <v>13</v>
      </c>
      <c r="B17" s="12" t="s">
        <v>282</v>
      </c>
      <c r="C17" s="12" t="s">
        <v>312</v>
      </c>
      <c r="D17" s="12" t="s">
        <v>308</v>
      </c>
      <c r="E17" s="12" t="s">
        <v>313</v>
      </c>
      <c r="F17" s="12">
        <v>54.63</v>
      </c>
      <c r="G17" s="12" t="s">
        <v>658</v>
      </c>
      <c r="H17" s="15">
        <v>57729170</v>
      </c>
      <c r="I17" s="31"/>
      <c r="J17" s="32">
        <v>1</v>
      </c>
      <c r="K17" s="33">
        <f>IF(I17&gt;0,I17,IF(H17&gt;0,H17*Supuestos!$B$8,0))</f>
        <v>135663549.5</v>
      </c>
      <c r="L17" s="33">
        <f t="shared" si="0"/>
        <v>135663549.5</v>
      </c>
      <c r="M17" s="6" t="str">
        <f t="shared" si="1"/>
        <v>Avalúo Fiscal x factor (proxy)</v>
      </c>
    </row>
    <row r="18" spans="1:13" x14ac:dyDescent="0.35">
      <c r="A18" s="12">
        <v>14</v>
      </c>
      <c r="B18" s="12" t="s">
        <v>314</v>
      </c>
      <c r="C18" s="12" t="s">
        <v>315</v>
      </c>
      <c r="D18" s="12" t="s">
        <v>316</v>
      </c>
      <c r="E18" s="12" t="s">
        <v>317</v>
      </c>
      <c r="F18" s="12">
        <v>4</v>
      </c>
      <c r="G18" s="12" t="s">
        <v>660</v>
      </c>
      <c r="H18" s="15">
        <v>1385158</v>
      </c>
      <c r="I18" s="31"/>
      <c r="J18" s="32">
        <v>1</v>
      </c>
      <c r="K18" s="33">
        <f>IF(I18&gt;0,I18,IF(H18&gt;0,H18*Supuestos!$B$8,0))</f>
        <v>3255121.3000000003</v>
      </c>
      <c r="L18" s="33">
        <f t="shared" si="0"/>
        <v>3255121.3000000003</v>
      </c>
      <c r="M18" s="6" t="str">
        <f t="shared" si="1"/>
        <v>Avalúo Fiscal x factor (proxy)</v>
      </c>
    </row>
    <row r="19" spans="1:13" x14ac:dyDescent="0.35">
      <c r="A19" s="12">
        <v>15</v>
      </c>
      <c r="B19" s="12" t="s">
        <v>314</v>
      </c>
      <c r="C19" s="12" t="s">
        <v>318</v>
      </c>
      <c r="D19" s="12" t="s">
        <v>316</v>
      </c>
      <c r="E19" s="12" t="s">
        <v>319</v>
      </c>
      <c r="F19" s="12">
        <v>4</v>
      </c>
      <c r="G19" s="12" t="s">
        <v>660</v>
      </c>
      <c r="H19" s="15">
        <v>1448222</v>
      </c>
      <c r="I19" s="31"/>
      <c r="J19" s="32">
        <v>1</v>
      </c>
      <c r="K19" s="33">
        <f>IF(I19&gt;0,I19,IF(H19&gt;0,H19*Supuestos!$B$8,0))</f>
        <v>3403321.7</v>
      </c>
      <c r="L19" s="33">
        <f t="shared" si="0"/>
        <v>3403321.7</v>
      </c>
      <c r="M19" s="6" t="str">
        <f t="shared" si="1"/>
        <v>Avalúo Fiscal x factor (proxy)</v>
      </c>
    </row>
    <row r="20" spans="1:13" x14ac:dyDescent="0.35">
      <c r="A20" s="12">
        <v>16</v>
      </c>
      <c r="B20" s="12" t="s">
        <v>314</v>
      </c>
      <c r="C20" s="12" t="s">
        <v>320</v>
      </c>
      <c r="D20" s="12" t="s">
        <v>316</v>
      </c>
      <c r="E20" s="12" t="s">
        <v>321</v>
      </c>
      <c r="F20" s="12">
        <v>4</v>
      </c>
      <c r="G20" s="12" t="s">
        <v>660</v>
      </c>
      <c r="H20" s="15">
        <v>1838084</v>
      </c>
      <c r="I20" s="31"/>
      <c r="J20" s="32">
        <v>1</v>
      </c>
      <c r="K20" s="33">
        <f>IF(I20&gt;0,I20,IF(H20&gt;0,H20*Supuestos!$B$8,0))</f>
        <v>4319497.4000000004</v>
      </c>
      <c r="L20" s="33">
        <f t="shared" si="0"/>
        <v>4319497.4000000004</v>
      </c>
      <c r="M20" s="6" t="str">
        <f t="shared" si="1"/>
        <v>Avalúo Fiscal x factor (proxy)</v>
      </c>
    </row>
    <row r="21" spans="1:13" x14ac:dyDescent="0.35">
      <c r="A21" s="12">
        <v>17</v>
      </c>
      <c r="B21" s="12" t="s">
        <v>282</v>
      </c>
      <c r="C21" s="12" t="s">
        <v>322</v>
      </c>
      <c r="D21" s="12" t="s">
        <v>316</v>
      </c>
      <c r="E21" s="12" t="s">
        <v>323</v>
      </c>
      <c r="F21" s="12">
        <v>26.48</v>
      </c>
      <c r="G21" s="12" t="s">
        <v>660</v>
      </c>
      <c r="H21" s="15">
        <v>31475059</v>
      </c>
      <c r="I21" s="31"/>
      <c r="J21" s="32">
        <v>1</v>
      </c>
      <c r="K21" s="33">
        <f>IF(I21&gt;0,I21,IF(H21&gt;0,H21*Supuestos!$B$8,0))</f>
        <v>73966388.650000006</v>
      </c>
      <c r="L21" s="33">
        <f t="shared" si="0"/>
        <v>73966388.650000006</v>
      </c>
      <c r="M21" s="6" t="str">
        <f t="shared" si="1"/>
        <v>Avalúo Fiscal x factor (proxy)</v>
      </c>
    </row>
    <row r="22" spans="1:13" x14ac:dyDescent="0.35">
      <c r="A22" s="12">
        <v>18</v>
      </c>
      <c r="B22" s="12" t="s">
        <v>282</v>
      </c>
      <c r="C22" s="12" t="s">
        <v>324</v>
      </c>
      <c r="D22" s="12" t="s">
        <v>316</v>
      </c>
      <c r="E22" s="12" t="s">
        <v>325</v>
      </c>
      <c r="F22" s="12">
        <v>26.16</v>
      </c>
      <c r="G22" s="12" t="s">
        <v>660</v>
      </c>
      <c r="H22" s="15">
        <v>43097296</v>
      </c>
      <c r="I22" s="31"/>
      <c r="J22" s="32">
        <v>1</v>
      </c>
      <c r="K22" s="33">
        <f>IF(I22&gt;0,I22,IF(H22&gt;0,H22*Supuestos!$B$8,0))</f>
        <v>101278645.60000001</v>
      </c>
      <c r="L22" s="33">
        <f t="shared" si="0"/>
        <v>101278645.60000001</v>
      </c>
      <c r="M22" s="6" t="str">
        <f t="shared" si="1"/>
        <v>Avalúo Fiscal x factor (proxy)</v>
      </c>
    </row>
    <row r="23" spans="1:13" x14ac:dyDescent="0.35">
      <c r="A23" s="12">
        <v>19</v>
      </c>
      <c r="B23" s="12" t="s">
        <v>282</v>
      </c>
      <c r="C23" s="12" t="s">
        <v>326</v>
      </c>
      <c r="D23" s="12" t="s">
        <v>316</v>
      </c>
      <c r="E23" s="12" t="s">
        <v>327</v>
      </c>
      <c r="F23" s="12">
        <v>26.92</v>
      </c>
      <c r="G23" s="12" t="s">
        <v>660</v>
      </c>
      <c r="H23" s="15">
        <v>44663594</v>
      </c>
      <c r="I23" s="31"/>
      <c r="J23" s="32">
        <v>1</v>
      </c>
      <c r="K23" s="33">
        <f>IF(I23&gt;0,I23,IF(H23&gt;0,H23*Supuestos!$B$8,0))</f>
        <v>104959445.90000001</v>
      </c>
      <c r="L23" s="33">
        <f t="shared" si="0"/>
        <v>104959445.90000001</v>
      </c>
      <c r="M23" s="6" t="str">
        <f t="shared" si="1"/>
        <v>Avalúo Fiscal x factor (proxy)</v>
      </c>
    </row>
    <row r="24" spans="1:13" x14ac:dyDescent="0.35">
      <c r="A24" s="12">
        <v>20</v>
      </c>
      <c r="B24" s="12" t="s">
        <v>282</v>
      </c>
      <c r="C24" s="12" t="s">
        <v>328</v>
      </c>
      <c r="D24" s="12" t="s">
        <v>316</v>
      </c>
      <c r="E24" s="12" t="s">
        <v>329</v>
      </c>
      <c r="F24" s="12">
        <v>27.08</v>
      </c>
      <c r="G24" s="12" t="s">
        <v>660</v>
      </c>
      <c r="H24" s="15">
        <v>43311720</v>
      </c>
      <c r="I24" s="31"/>
      <c r="J24" s="32">
        <v>1</v>
      </c>
      <c r="K24" s="33">
        <f>IF(I24&gt;0,I24,IF(H24&gt;0,H24*Supuestos!$B$8,0))</f>
        <v>101782542</v>
      </c>
      <c r="L24" s="33">
        <f t="shared" si="0"/>
        <v>101782542</v>
      </c>
      <c r="M24" s="6" t="str">
        <f t="shared" si="1"/>
        <v>Avalúo Fiscal x factor (proxy)</v>
      </c>
    </row>
    <row r="25" spans="1:13" x14ac:dyDescent="0.35">
      <c r="A25" s="12">
        <v>21</v>
      </c>
      <c r="B25" s="12" t="s">
        <v>282</v>
      </c>
      <c r="C25" s="12" t="s">
        <v>330</v>
      </c>
      <c r="D25" s="12" t="s">
        <v>316</v>
      </c>
      <c r="E25" s="12" t="s">
        <v>331</v>
      </c>
      <c r="F25" s="12">
        <v>20.85</v>
      </c>
      <c r="G25" s="12" t="s">
        <v>660</v>
      </c>
      <c r="H25" s="15">
        <v>32133208</v>
      </c>
      <c r="I25" s="31"/>
      <c r="J25" s="32">
        <v>1</v>
      </c>
      <c r="K25" s="33">
        <f>IF(I25&gt;0,I25,IF(H25&gt;0,H25*Supuestos!$B$8,0))</f>
        <v>75513038.799999997</v>
      </c>
      <c r="L25" s="33">
        <f t="shared" si="0"/>
        <v>75513038.799999997</v>
      </c>
      <c r="M25" s="6" t="str">
        <f t="shared" si="1"/>
        <v>Avalúo Fiscal x factor (proxy)</v>
      </c>
    </row>
    <row r="26" spans="1:13" x14ac:dyDescent="0.35">
      <c r="A26" s="12">
        <v>22</v>
      </c>
      <c r="B26" s="12" t="s">
        <v>282</v>
      </c>
      <c r="C26" s="12" t="s">
        <v>332</v>
      </c>
      <c r="D26" s="12" t="s">
        <v>316</v>
      </c>
      <c r="E26" s="12" t="s">
        <v>333</v>
      </c>
      <c r="F26" s="12">
        <v>29.62</v>
      </c>
      <c r="G26" s="12" t="s">
        <v>660</v>
      </c>
      <c r="H26" s="15">
        <v>48681375</v>
      </c>
      <c r="I26" s="31"/>
      <c r="J26" s="32">
        <v>1</v>
      </c>
      <c r="K26" s="33">
        <f>IF(I26&gt;0,I26,IF(H26&gt;0,H26*Supuestos!$B$8,0))</f>
        <v>114401231.25</v>
      </c>
      <c r="L26" s="33">
        <f t="shared" si="0"/>
        <v>114401231.25</v>
      </c>
      <c r="M26" s="6" t="str">
        <f t="shared" si="1"/>
        <v>Avalúo Fiscal x factor (proxy)</v>
      </c>
    </row>
    <row r="27" spans="1:13" x14ac:dyDescent="0.35">
      <c r="A27" s="12">
        <v>23</v>
      </c>
      <c r="B27" s="12" t="s">
        <v>282</v>
      </c>
      <c r="C27" s="12" t="s">
        <v>334</v>
      </c>
      <c r="D27" s="12" t="s">
        <v>316</v>
      </c>
      <c r="E27" s="12" t="s">
        <v>335</v>
      </c>
      <c r="F27" s="12">
        <v>26.92</v>
      </c>
      <c r="G27" s="12" t="s">
        <v>660</v>
      </c>
      <c r="H27" s="15">
        <v>44663594</v>
      </c>
      <c r="I27" s="31"/>
      <c r="J27" s="32">
        <v>1</v>
      </c>
      <c r="K27" s="33">
        <f>IF(I27&gt;0,I27,IF(H27&gt;0,H27*Supuestos!$B$8,0))</f>
        <v>104959445.90000001</v>
      </c>
      <c r="L27" s="33">
        <f t="shared" si="0"/>
        <v>104959445.90000001</v>
      </c>
      <c r="M27" s="6" t="str">
        <f t="shared" si="1"/>
        <v>Avalúo Fiscal x factor (proxy)</v>
      </c>
    </row>
    <row r="28" spans="1:13" x14ac:dyDescent="0.35">
      <c r="A28" s="12">
        <v>24</v>
      </c>
      <c r="B28" s="12" t="s">
        <v>282</v>
      </c>
      <c r="C28" s="12" t="s">
        <v>336</v>
      </c>
      <c r="D28" s="12" t="s">
        <v>316</v>
      </c>
      <c r="E28" s="12" t="s">
        <v>337</v>
      </c>
      <c r="F28" s="12">
        <v>20.85</v>
      </c>
      <c r="G28" s="12" t="s">
        <v>660</v>
      </c>
      <c r="H28" s="15">
        <v>32133208</v>
      </c>
      <c r="I28" s="31"/>
      <c r="J28" s="32">
        <v>1</v>
      </c>
      <c r="K28" s="33">
        <f>IF(I28&gt;0,I28,IF(H28&gt;0,H28*Supuestos!$B$8,0))</f>
        <v>75513038.799999997</v>
      </c>
      <c r="L28" s="33">
        <f t="shared" si="0"/>
        <v>75513038.799999997</v>
      </c>
      <c r="M28" s="6" t="str">
        <f t="shared" si="1"/>
        <v>Avalúo Fiscal x factor (proxy)</v>
      </c>
    </row>
    <row r="29" spans="1:13" x14ac:dyDescent="0.35">
      <c r="A29" s="12">
        <v>25</v>
      </c>
      <c r="B29" s="12" t="s">
        <v>282</v>
      </c>
      <c r="C29" s="12" t="s">
        <v>338</v>
      </c>
      <c r="D29" s="12" t="s">
        <v>316</v>
      </c>
      <c r="E29" s="12" t="s">
        <v>339</v>
      </c>
      <c r="F29" s="12">
        <v>20.69</v>
      </c>
      <c r="G29" s="12" t="s">
        <v>660</v>
      </c>
      <c r="H29" s="15">
        <v>33545886</v>
      </c>
      <c r="I29" s="31"/>
      <c r="J29" s="32">
        <v>1</v>
      </c>
      <c r="K29" s="33">
        <f>IF(I29&gt;0,I29,IF(H29&gt;0,H29*Supuestos!$B$8,0))</f>
        <v>78832832.100000009</v>
      </c>
      <c r="L29" s="33">
        <f t="shared" si="0"/>
        <v>78832832.100000009</v>
      </c>
      <c r="M29" s="6" t="str">
        <f t="shared" si="1"/>
        <v>Avalúo Fiscal x factor (proxy)</v>
      </c>
    </row>
    <row r="30" spans="1:13" x14ac:dyDescent="0.35">
      <c r="A30" s="12">
        <v>26</v>
      </c>
      <c r="B30" s="12" t="s">
        <v>282</v>
      </c>
      <c r="C30" s="12" t="s">
        <v>340</v>
      </c>
      <c r="D30" s="12" t="s">
        <v>316</v>
      </c>
      <c r="E30" s="12" t="s">
        <v>341</v>
      </c>
      <c r="F30" s="12">
        <v>26.92</v>
      </c>
      <c r="G30" s="12" t="s">
        <v>660</v>
      </c>
      <c r="H30" s="15">
        <v>44663594</v>
      </c>
      <c r="I30" s="31"/>
      <c r="J30" s="32">
        <v>1</v>
      </c>
      <c r="K30" s="33">
        <f>IF(I30&gt;0,I30,IF(H30&gt;0,H30*Supuestos!$B$8,0))</f>
        <v>104959445.90000001</v>
      </c>
      <c r="L30" s="33">
        <f t="shared" si="0"/>
        <v>104959445.90000001</v>
      </c>
      <c r="M30" s="6" t="str">
        <f t="shared" si="1"/>
        <v>Avalúo Fiscal x factor (proxy)</v>
      </c>
    </row>
    <row r="31" spans="1:13" x14ac:dyDescent="0.35">
      <c r="A31" s="12"/>
      <c r="B31" s="12" t="s">
        <v>666</v>
      </c>
      <c r="C31" s="12" t="s">
        <v>667</v>
      </c>
      <c r="D31" s="12" t="s">
        <v>668</v>
      </c>
      <c r="E31" s="12"/>
      <c r="F31" s="12"/>
      <c r="G31" s="12" t="s">
        <v>664</v>
      </c>
      <c r="H31" s="15"/>
      <c r="I31" s="31"/>
      <c r="J31" s="32">
        <v>1</v>
      </c>
      <c r="K31" s="33"/>
      <c r="L31" s="33"/>
      <c r="M31" s="6"/>
    </row>
    <row r="32" spans="1:13" x14ac:dyDescent="0.35">
      <c r="A32" s="12">
        <v>27</v>
      </c>
      <c r="B32" s="12" t="s">
        <v>289</v>
      </c>
      <c r="C32" s="12" t="s">
        <v>661</v>
      </c>
      <c r="D32" s="12" t="s">
        <v>200</v>
      </c>
      <c r="E32" s="12" t="s">
        <v>200</v>
      </c>
      <c r="F32" s="12">
        <v>730</v>
      </c>
      <c r="G32" s="12" t="s">
        <v>662</v>
      </c>
      <c r="H32" s="31"/>
      <c r="I32" s="15">
        <v>2042239500</v>
      </c>
      <c r="J32" s="32">
        <v>1</v>
      </c>
      <c r="K32" s="33">
        <f>IF(I32&gt;0,I32,IF(H32&gt;0,H32*Supuestos!$B$8,0))</f>
        <v>2042239500</v>
      </c>
      <c r="L32" s="33">
        <f t="shared" si="0"/>
        <v>2042239500</v>
      </c>
      <c r="M32" s="6" t="str">
        <f t="shared" si="1"/>
        <v>Tasación directa/comercial</v>
      </c>
    </row>
    <row r="33" spans="1:13" x14ac:dyDescent="0.35">
      <c r="A33" s="12">
        <v>28</v>
      </c>
      <c r="B33" s="12" t="s">
        <v>300</v>
      </c>
      <c r="C33" s="12" t="s">
        <v>663</v>
      </c>
      <c r="D33" s="12" t="s">
        <v>665</v>
      </c>
      <c r="E33" s="12" t="s">
        <v>200</v>
      </c>
      <c r="F33" s="12"/>
      <c r="G33" s="12" t="s">
        <v>664</v>
      </c>
      <c r="H33" s="31"/>
      <c r="I33" s="33">
        <f>9000000*12/0.055</f>
        <v>1963636363.6363637</v>
      </c>
      <c r="J33" s="32">
        <v>0.4</v>
      </c>
      <c r="K33" s="33">
        <f>IF(I33&gt;0,I33,IF(H33&gt;0,H33*Supuestos!$B$8,0))</f>
        <v>1963636363.6363637</v>
      </c>
      <c r="L33" s="33">
        <f t="shared" si="0"/>
        <v>785454545.4545455</v>
      </c>
      <c r="M33" s="6" t="str">
        <f t="shared" si="1"/>
        <v>Tasación directa/comercial</v>
      </c>
    </row>
    <row r="34" spans="1:13" x14ac:dyDescent="0.35">
      <c r="A34" s="12"/>
      <c r="B34" s="12" t="s">
        <v>672</v>
      </c>
      <c r="C34" s="12" t="s">
        <v>673</v>
      </c>
      <c r="D34" s="12" t="s">
        <v>284</v>
      </c>
      <c r="E34" s="12"/>
      <c r="F34" s="12"/>
      <c r="G34" s="12"/>
      <c r="H34" s="31"/>
      <c r="I34" s="33">
        <f>18000*40850</f>
        <v>735300000</v>
      </c>
      <c r="J34" s="32">
        <v>8.8999999999999996E-2</v>
      </c>
      <c r="K34" s="33">
        <f>IF(I34&gt;0,I34,IF(H34&gt;0,H34*Supuestos!$B$8,0))</f>
        <v>735300000</v>
      </c>
      <c r="L34" s="33">
        <f t="shared" si="0"/>
        <v>65441700</v>
      </c>
      <c r="M34" s="6"/>
    </row>
    <row r="35" spans="1:13" x14ac:dyDescent="0.35">
      <c r="A35" s="12"/>
      <c r="B35" s="12"/>
      <c r="C35" s="12"/>
      <c r="D35" s="12"/>
      <c r="E35" s="12"/>
      <c r="F35" s="12"/>
      <c r="G35" s="12"/>
      <c r="H35" s="31"/>
      <c r="I35" s="33"/>
      <c r="J35" s="32"/>
      <c r="K35" s="33"/>
      <c r="L35" s="33"/>
      <c r="M35" s="6"/>
    </row>
    <row r="36" spans="1:13" x14ac:dyDescent="0.35">
      <c r="A36" s="12"/>
      <c r="B36" s="12" t="s">
        <v>674</v>
      </c>
      <c r="C36" s="12" t="s">
        <v>676</v>
      </c>
      <c r="D36" s="12" t="s">
        <v>427</v>
      </c>
      <c r="E36" s="12" t="s">
        <v>675</v>
      </c>
      <c r="F36" s="12"/>
      <c r="G36" s="12" t="s">
        <v>677</v>
      </c>
      <c r="H36" s="31"/>
      <c r="I36" s="33">
        <v>33000000</v>
      </c>
      <c r="J36" s="32"/>
      <c r="K36" s="33"/>
      <c r="L36" s="33"/>
      <c r="M36" s="6"/>
    </row>
    <row r="37" spans="1:13" x14ac:dyDescent="0.35">
      <c r="A37" s="12"/>
      <c r="B37" s="12" t="s">
        <v>669</v>
      </c>
      <c r="C37" s="12" t="s">
        <v>670</v>
      </c>
      <c r="D37" s="12"/>
      <c r="E37" s="12"/>
      <c r="F37" s="12"/>
      <c r="G37" s="12" t="s">
        <v>671</v>
      </c>
      <c r="H37" s="31"/>
      <c r="I37" s="33">
        <v>800000000</v>
      </c>
      <c r="J37" s="32">
        <v>0.5</v>
      </c>
      <c r="K37" s="33"/>
      <c r="L37" s="33"/>
      <c r="M37" s="6"/>
    </row>
    <row r="38" spans="1:13" x14ac:dyDescent="0.35">
      <c r="A38" s="12">
        <v>29</v>
      </c>
      <c r="B38" s="12" t="s">
        <v>342</v>
      </c>
      <c r="C38" s="12" t="s">
        <v>343</v>
      </c>
      <c r="D38" s="12" t="s">
        <v>344</v>
      </c>
      <c r="E38" s="12" t="s">
        <v>200</v>
      </c>
      <c r="F38" s="12"/>
      <c r="G38" s="12" t="s">
        <v>658</v>
      </c>
      <c r="H38" s="31"/>
      <c r="I38" s="33">
        <f>1100000000/0.4</f>
        <v>2750000000</v>
      </c>
      <c r="J38" s="32">
        <v>0.35</v>
      </c>
      <c r="K38" s="33">
        <f>IF(I38&gt;0,I38,IF(H38&gt;0,H38*Supuestos!$B$8,0))</f>
        <v>2750000000</v>
      </c>
      <c r="L38" s="33">
        <f t="shared" si="0"/>
        <v>962499999.99999988</v>
      </c>
      <c r="M38" s="6" t="str">
        <f t="shared" si="1"/>
        <v>Tasación directa/comercial</v>
      </c>
    </row>
    <row r="39" spans="1:13" x14ac:dyDescent="0.35">
      <c r="A39" s="17"/>
      <c r="B39" s="17"/>
      <c r="C39" s="17"/>
      <c r="D39" s="17"/>
      <c r="E39" s="17"/>
      <c r="F39" s="17"/>
      <c r="G39" s="16" t="s">
        <v>345</v>
      </c>
      <c r="H39" s="18">
        <f>SUM(H5:H38)</f>
        <v>2086813271</v>
      </c>
      <c r="I39" s="18">
        <f>SUM(I5:I38)</f>
        <v>8324175863.636364</v>
      </c>
      <c r="J39" s="17"/>
      <c r="K39" s="18">
        <f>SUM(K5:K38)</f>
        <v>12395187050.486364</v>
      </c>
      <c r="L39" s="18">
        <f>SUM(L5:L38)</f>
        <v>7063315031.6045456</v>
      </c>
      <c r="M39" s="17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F39"/>
  <sheetViews>
    <sheetView zoomScaleNormal="100" workbookViewId="0">
      <pane ySplit="4" topLeftCell="A23" activePane="bottomLeft" state="frozen"/>
      <selection pane="bottomLeft" activeCell="J33" sqref="J33"/>
    </sheetView>
  </sheetViews>
  <sheetFormatPr baseColWidth="10" defaultColWidth="8.6328125" defaultRowHeight="14.5" x14ac:dyDescent="0.35"/>
  <cols>
    <col min="1" max="1" width="45" customWidth="1"/>
    <col min="2" max="2" width="16" customWidth="1"/>
    <col min="3" max="4" width="20" customWidth="1"/>
    <col min="5" max="5" width="22" customWidth="1"/>
    <col min="6" max="6" width="26" customWidth="1"/>
  </cols>
  <sheetData>
    <row r="1" spans="1:6" ht="18" x14ac:dyDescent="0.4">
      <c r="A1" s="1" t="s">
        <v>346</v>
      </c>
    </row>
    <row r="2" spans="1:6" ht="87" x14ac:dyDescent="0.35">
      <c r="A2" s="14" t="s">
        <v>347</v>
      </c>
    </row>
    <row r="4" spans="1:6" ht="31" x14ac:dyDescent="0.35">
      <c r="A4" s="5" t="s">
        <v>129</v>
      </c>
      <c r="B4" s="5" t="s">
        <v>81</v>
      </c>
      <c r="C4" s="5" t="s">
        <v>348</v>
      </c>
      <c r="D4" s="5" t="s">
        <v>349</v>
      </c>
      <c r="E4" s="5" t="s">
        <v>350</v>
      </c>
      <c r="F4" s="5" t="s">
        <v>103</v>
      </c>
    </row>
    <row r="5" spans="1:6" ht="29" x14ac:dyDescent="0.35">
      <c r="A5" s="24" t="s">
        <v>188</v>
      </c>
      <c r="B5" s="24" t="s">
        <v>351</v>
      </c>
      <c r="C5" s="34">
        <v>0.3</v>
      </c>
      <c r="D5" s="35">
        <f>330000000*3.3</f>
        <v>1089000000</v>
      </c>
      <c r="E5" s="27">
        <f t="shared" ref="E5:E38" si="0">IF(AND(C5&lt;&gt;"",D5&lt;&gt;""),C5*D5,0)</f>
        <v>326700000</v>
      </c>
      <c r="F5" s="26" t="s">
        <v>352</v>
      </c>
    </row>
    <row r="6" spans="1:6" x14ac:dyDescent="0.35">
      <c r="A6" s="6" t="s">
        <v>353</v>
      </c>
      <c r="B6" s="6" t="s">
        <v>354</v>
      </c>
      <c r="C6" s="36">
        <v>0.5</v>
      </c>
      <c r="D6" s="10"/>
      <c r="E6" s="33">
        <f t="shared" si="0"/>
        <v>0</v>
      </c>
      <c r="F6" s="8"/>
    </row>
    <row r="7" spans="1:6" x14ac:dyDescent="0.35">
      <c r="A7" s="6" t="s">
        <v>355</v>
      </c>
      <c r="B7" s="6" t="s">
        <v>356</v>
      </c>
      <c r="C7" s="36">
        <v>0.5</v>
      </c>
      <c r="D7" s="10"/>
      <c r="E7" s="33">
        <f t="shared" si="0"/>
        <v>0</v>
      </c>
      <c r="F7" s="8"/>
    </row>
    <row r="8" spans="1:6" ht="29" x14ac:dyDescent="0.35">
      <c r="A8" s="24" t="s">
        <v>357</v>
      </c>
      <c r="B8" s="24" t="s">
        <v>358</v>
      </c>
      <c r="C8" s="34"/>
      <c r="D8" s="35"/>
      <c r="E8" s="27">
        <f t="shared" si="0"/>
        <v>0</v>
      </c>
      <c r="F8" s="26" t="s">
        <v>352</v>
      </c>
    </row>
    <row r="9" spans="1:6" ht="29" x14ac:dyDescent="0.35">
      <c r="A9" s="24" t="s">
        <v>359</v>
      </c>
      <c r="B9" s="24" t="s">
        <v>360</v>
      </c>
      <c r="C9" s="34"/>
      <c r="D9" s="35"/>
      <c r="E9" s="27">
        <f t="shared" si="0"/>
        <v>0</v>
      </c>
      <c r="F9" s="26" t="s">
        <v>352</v>
      </c>
    </row>
    <row r="10" spans="1:6" ht="29" x14ac:dyDescent="0.35">
      <c r="A10" s="24" t="s">
        <v>361</v>
      </c>
      <c r="B10" s="24" t="s">
        <v>362</v>
      </c>
      <c r="C10" s="34"/>
      <c r="D10" s="35"/>
      <c r="E10" s="27">
        <f t="shared" si="0"/>
        <v>0</v>
      </c>
      <c r="F10" s="26" t="s">
        <v>352</v>
      </c>
    </row>
    <row r="11" spans="1:6" ht="29" x14ac:dyDescent="0.35">
      <c r="A11" s="24" t="s">
        <v>363</v>
      </c>
      <c r="B11" s="24" t="s">
        <v>364</v>
      </c>
      <c r="C11" s="34"/>
      <c r="D11" s="35"/>
      <c r="E11" s="27">
        <f t="shared" si="0"/>
        <v>0</v>
      </c>
      <c r="F11" s="26" t="s">
        <v>352</v>
      </c>
    </row>
    <row r="12" spans="1:6" x14ac:dyDescent="0.35">
      <c r="A12" s="6" t="s">
        <v>365</v>
      </c>
      <c r="B12" s="6" t="s">
        <v>366</v>
      </c>
      <c r="C12" s="36">
        <v>0.45</v>
      </c>
      <c r="D12" s="10"/>
      <c r="E12" s="33">
        <f t="shared" si="0"/>
        <v>0</v>
      </c>
      <c r="F12" s="8"/>
    </row>
    <row r="13" spans="1:6" ht="29" x14ac:dyDescent="0.35">
      <c r="A13" s="24" t="s">
        <v>367</v>
      </c>
      <c r="B13" s="24" t="s">
        <v>368</v>
      </c>
      <c r="C13" s="34"/>
      <c r="D13" s="35"/>
      <c r="E13" s="27">
        <f t="shared" si="0"/>
        <v>0</v>
      </c>
      <c r="F13" s="26" t="s">
        <v>352</v>
      </c>
    </row>
    <row r="14" spans="1:6" ht="29" x14ac:dyDescent="0.35">
      <c r="A14" s="24" t="s">
        <v>369</v>
      </c>
      <c r="B14" s="24" t="s">
        <v>370</v>
      </c>
      <c r="C14" s="34"/>
      <c r="D14" s="35"/>
      <c r="E14" s="27">
        <f t="shared" si="0"/>
        <v>0</v>
      </c>
      <c r="F14" s="26" t="s">
        <v>352</v>
      </c>
    </row>
    <row r="15" spans="1:6" x14ac:dyDescent="0.35">
      <c r="A15" s="6" t="s">
        <v>371</v>
      </c>
      <c r="B15" s="6" t="s">
        <v>372</v>
      </c>
      <c r="C15" s="36">
        <v>0.8</v>
      </c>
      <c r="D15" s="10"/>
      <c r="E15" s="33">
        <f t="shared" si="0"/>
        <v>0</v>
      </c>
      <c r="F15" s="8"/>
    </row>
    <row r="16" spans="1:6" ht="29" x14ac:dyDescent="0.35">
      <c r="A16" s="24" t="s">
        <v>373</v>
      </c>
      <c r="B16" s="24" t="s">
        <v>374</v>
      </c>
      <c r="C16" s="34"/>
      <c r="D16" s="35"/>
      <c r="E16" s="27">
        <f t="shared" si="0"/>
        <v>0</v>
      </c>
      <c r="F16" s="26" t="s">
        <v>352</v>
      </c>
    </row>
    <row r="17" spans="1:6" ht="29" x14ac:dyDescent="0.35">
      <c r="A17" s="24" t="s">
        <v>375</v>
      </c>
      <c r="B17" s="24" t="s">
        <v>376</v>
      </c>
      <c r="C17" s="34"/>
      <c r="D17" s="35"/>
      <c r="E17" s="27">
        <f t="shared" si="0"/>
        <v>0</v>
      </c>
      <c r="F17" s="26" t="s">
        <v>352</v>
      </c>
    </row>
    <row r="18" spans="1:6" ht="29" x14ac:dyDescent="0.35">
      <c r="A18" s="24" t="s">
        <v>377</v>
      </c>
      <c r="B18" s="24" t="s">
        <v>378</v>
      </c>
      <c r="C18" s="34"/>
      <c r="D18" s="35"/>
      <c r="E18" s="27">
        <f t="shared" si="0"/>
        <v>0</v>
      </c>
      <c r="F18" s="26" t="s">
        <v>352</v>
      </c>
    </row>
    <row r="19" spans="1:6" x14ac:dyDescent="0.35">
      <c r="A19" s="6" t="s">
        <v>379</v>
      </c>
      <c r="B19" s="6" t="s">
        <v>380</v>
      </c>
      <c r="C19" s="36">
        <v>1E-3</v>
      </c>
      <c r="D19" s="10"/>
      <c r="E19" s="33">
        <f t="shared" si="0"/>
        <v>0</v>
      </c>
      <c r="F19" s="8"/>
    </row>
    <row r="20" spans="1:6" x14ac:dyDescent="0.35">
      <c r="A20" s="6" t="s">
        <v>381</v>
      </c>
      <c r="B20" s="6" t="s">
        <v>382</v>
      </c>
      <c r="C20" s="36">
        <v>5.0000000000000001E-3</v>
      </c>
      <c r="D20" s="10"/>
      <c r="E20" s="33">
        <f t="shared" si="0"/>
        <v>0</v>
      </c>
      <c r="F20" s="8"/>
    </row>
    <row r="21" spans="1:6" ht="29" x14ac:dyDescent="0.35">
      <c r="A21" s="24" t="s">
        <v>383</v>
      </c>
      <c r="B21" s="24" t="s">
        <v>384</v>
      </c>
      <c r="C21" s="34"/>
      <c r="D21" s="35"/>
      <c r="E21" s="27">
        <f t="shared" si="0"/>
        <v>0</v>
      </c>
      <c r="F21" s="26" t="s">
        <v>352</v>
      </c>
    </row>
    <row r="22" spans="1:6" ht="29" x14ac:dyDescent="0.35">
      <c r="A22" s="24" t="s">
        <v>385</v>
      </c>
      <c r="B22" s="24" t="s">
        <v>386</v>
      </c>
      <c r="C22" s="34"/>
      <c r="D22" s="35"/>
      <c r="E22" s="27">
        <f t="shared" si="0"/>
        <v>0</v>
      </c>
      <c r="F22" s="26" t="s">
        <v>352</v>
      </c>
    </row>
    <row r="23" spans="1:6" ht="29" x14ac:dyDescent="0.35">
      <c r="A23" s="24" t="s">
        <v>387</v>
      </c>
      <c r="B23" s="24" t="s">
        <v>388</v>
      </c>
      <c r="C23" s="34"/>
      <c r="D23" s="35"/>
      <c r="E23" s="27">
        <f t="shared" si="0"/>
        <v>0</v>
      </c>
      <c r="F23" s="26" t="s">
        <v>352</v>
      </c>
    </row>
    <row r="24" spans="1:6" ht="29" x14ac:dyDescent="0.35">
      <c r="A24" s="24" t="s">
        <v>153</v>
      </c>
      <c r="B24" s="24" t="s">
        <v>389</v>
      </c>
      <c r="C24" s="34"/>
      <c r="D24" s="35"/>
      <c r="E24" s="27">
        <f t="shared" si="0"/>
        <v>0</v>
      </c>
      <c r="F24" s="26" t="s">
        <v>352</v>
      </c>
    </row>
    <row r="25" spans="1:6" ht="29" x14ac:dyDescent="0.35">
      <c r="A25" s="24" t="s">
        <v>390</v>
      </c>
      <c r="B25" s="24" t="s">
        <v>391</v>
      </c>
      <c r="C25" s="34"/>
      <c r="D25" s="35"/>
      <c r="E25" s="27">
        <f t="shared" si="0"/>
        <v>0</v>
      </c>
      <c r="F25" s="26" t="s">
        <v>352</v>
      </c>
    </row>
    <row r="26" spans="1:6" x14ac:dyDescent="0.35">
      <c r="A26" s="6" t="s">
        <v>392</v>
      </c>
      <c r="B26" s="6" t="s">
        <v>393</v>
      </c>
      <c r="C26" s="36">
        <v>1</v>
      </c>
      <c r="D26" s="10"/>
      <c r="E26" s="33">
        <f t="shared" si="0"/>
        <v>0</v>
      </c>
      <c r="F26" s="8"/>
    </row>
    <row r="27" spans="1:6" ht="29" x14ac:dyDescent="0.35">
      <c r="A27" s="24" t="s">
        <v>132</v>
      </c>
      <c r="B27" s="24" t="s">
        <v>394</v>
      </c>
      <c r="C27" s="34"/>
      <c r="D27" s="35"/>
      <c r="E27" s="27">
        <f t="shared" si="0"/>
        <v>0</v>
      </c>
      <c r="F27" s="26" t="s">
        <v>352</v>
      </c>
    </row>
    <row r="28" spans="1:6" ht="29" x14ac:dyDescent="0.35">
      <c r="A28" s="24" t="s">
        <v>395</v>
      </c>
      <c r="B28" s="24" t="s">
        <v>396</v>
      </c>
      <c r="C28" s="34"/>
      <c r="D28" s="35"/>
      <c r="E28" s="27">
        <f t="shared" si="0"/>
        <v>0</v>
      </c>
      <c r="F28" s="26" t="s">
        <v>352</v>
      </c>
    </row>
    <row r="29" spans="1:6" x14ac:dyDescent="0.35">
      <c r="A29" s="6" t="s">
        <v>397</v>
      </c>
      <c r="B29" s="6" t="s">
        <v>398</v>
      </c>
      <c r="C29" s="36">
        <v>1</v>
      </c>
      <c r="D29" s="10"/>
      <c r="E29" s="33">
        <f t="shared" si="0"/>
        <v>0</v>
      </c>
      <c r="F29" s="8"/>
    </row>
    <row r="30" spans="1:6" x14ac:dyDescent="0.35">
      <c r="A30" s="6" t="s">
        <v>399</v>
      </c>
      <c r="B30" s="6" t="s">
        <v>400</v>
      </c>
      <c r="C30" s="36">
        <v>0.5</v>
      </c>
      <c r="D30" s="10"/>
      <c r="E30" s="33">
        <f t="shared" si="0"/>
        <v>0</v>
      </c>
      <c r="F30" s="8"/>
    </row>
    <row r="31" spans="1:6" x14ac:dyDescent="0.35">
      <c r="A31" s="6" t="s">
        <v>401</v>
      </c>
      <c r="B31" s="6" t="s">
        <v>402</v>
      </c>
      <c r="C31" s="36">
        <v>1</v>
      </c>
      <c r="D31" s="10"/>
      <c r="E31" s="33">
        <f t="shared" si="0"/>
        <v>0</v>
      </c>
      <c r="F31" s="8"/>
    </row>
    <row r="32" spans="1:6" ht="29" x14ac:dyDescent="0.35">
      <c r="A32" s="24" t="s">
        <v>403</v>
      </c>
      <c r="B32" s="24" t="s">
        <v>404</v>
      </c>
      <c r="C32" s="34"/>
      <c r="D32" s="35"/>
      <c r="E32" s="27">
        <f t="shared" si="0"/>
        <v>0</v>
      </c>
      <c r="F32" s="26" t="s">
        <v>352</v>
      </c>
    </row>
    <row r="33" spans="1:6" ht="29" x14ac:dyDescent="0.35">
      <c r="A33" s="24" t="s">
        <v>405</v>
      </c>
      <c r="B33" s="24" t="s">
        <v>406</v>
      </c>
      <c r="C33" s="34"/>
      <c r="D33" s="35"/>
      <c r="E33" s="27">
        <f t="shared" si="0"/>
        <v>0</v>
      </c>
      <c r="F33" s="26" t="s">
        <v>352</v>
      </c>
    </row>
    <row r="34" spans="1:6" ht="29" x14ac:dyDescent="0.35">
      <c r="A34" s="24" t="s">
        <v>407</v>
      </c>
      <c r="B34" s="24" t="s">
        <v>408</v>
      </c>
      <c r="C34" s="34"/>
      <c r="D34" s="35"/>
      <c r="E34" s="27">
        <f t="shared" si="0"/>
        <v>0</v>
      </c>
      <c r="F34" s="26" t="s">
        <v>352</v>
      </c>
    </row>
    <row r="35" spans="1:6" ht="29" x14ac:dyDescent="0.35">
      <c r="A35" s="24" t="s">
        <v>409</v>
      </c>
      <c r="B35" s="24" t="s">
        <v>410</v>
      </c>
      <c r="C35" s="34"/>
      <c r="D35" s="35"/>
      <c r="E35" s="27">
        <f t="shared" si="0"/>
        <v>0</v>
      </c>
      <c r="F35" s="26" t="s">
        <v>352</v>
      </c>
    </row>
    <row r="36" spans="1:6" ht="29" x14ac:dyDescent="0.35">
      <c r="A36" s="24" t="s">
        <v>157</v>
      </c>
      <c r="B36" s="24" t="s">
        <v>411</v>
      </c>
      <c r="C36" s="34"/>
      <c r="D36" s="35"/>
      <c r="E36" s="27">
        <f t="shared" si="0"/>
        <v>0</v>
      </c>
      <c r="F36" s="26" t="s">
        <v>352</v>
      </c>
    </row>
    <row r="37" spans="1:6" x14ac:dyDescent="0.35">
      <c r="A37" s="6" t="s">
        <v>412</v>
      </c>
      <c r="B37" s="6" t="s">
        <v>413</v>
      </c>
      <c r="C37" s="36">
        <v>1</v>
      </c>
      <c r="D37" s="10"/>
      <c r="E37" s="33">
        <f t="shared" si="0"/>
        <v>0</v>
      </c>
      <c r="F37" s="8"/>
    </row>
    <row r="38" spans="1:6" ht="87" x14ac:dyDescent="0.35">
      <c r="A38" s="6" t="s">
        <v>414</v>
      </c>
      <c r="B38" s="6" t="s">
        <v>415</v>
      </c>
      <c r="C38" s="36">
        <v>0.19</v>
      </c>
      <c r="D38" s="37">
        <f>6500000000/0.19</f>
        <v>34210526315.789474</v>
      </c>
      <c r="E38" s="33">
        <f t="shared" si="0"/>
        <v>6500000000</v>
      </c>
      <c r="F38" s="8" t="s">
        <v>416</v>
      </c>
    </row>
    <row r="39" spans="1:6" x14ac:dyDescent="0.35">
      <c r="A39" s="16" t="s">
        <v>417</v>
      </c>
      <c r="B39" s="17"/>
      <c r="C39" s="17"/>
      <c r="D39" s="17"/>
      <c r="E39" s="18">
        <f>SUM(E5:E38)</f>
        <v>6826700000</v>
      </c>
      <c r="F39" s="17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E13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328125" defaultRowHeight="14.5" x14ac:dyDescent="0.35"/>
  <cols>
    <col min="1" max="1" width="16" customWidth="1"/>
    <col min="2" max="2" width="42" customWidth="1"/>
    <col min="3" max="3" width="18" customWidth="1"/>
    <col min="4" max="4" width="20" customWidth="1"/>
    <col min="5" max="5" width="45" customWidth="1"/>
  </cols>
  <sheetData>
    <row r="1" spans="1:5" ht="18" x14ac:dyDescent="0.4">
      <c r="A1" s="1" t="s">
        <v>418</v>
      </c>
    </row>
    <row r="2" spans="1:5" ht="203" x14ac:dyDescent="0.35">
      <c r="A2" s="14" t="s">
        <v>419</v>
      </c>
    </row>
    <row r="4" spans="1:5" ht="15.5" x14ac:dyDescent="0.35">
      <c r="A4" s="5" t="s">
        <v>81</v>
      </c>
      <c r="B4" s="5" t="s">
        <v>129</v>
      </c>
      <c r="C4" s="5" t="s">
        <v>273</v>
      </c>
      <c r="D4" s="5" t="s">
        <v>420</v>
      </c>
      <c r="E4" s="5" t="s">
        <v>103</v>
      </c>
    </row>
    <row r="5" spans="1:5" x14ac:dyDescent="0.35">
      <c r="A5" s="12" t="s">
        <v>421</v>
      </c>
      <c r="B5" s="12" t="s">
        <v>422</v>
      </c>
      <c r="C5" s="12" t="s">
        <v>284</v>
      </c>
      <c r="D5" s="15">
        <v>373841</v>
      </c>
      <c r="E5" s="8"/>
    </row>
    <row r="6" spans="1:5" x14ac:dyDescent="0.35">
      <c r="A6" s="12" t="s">
        <v>394</v>
      </c>
      <c r="B6" s="12" t="s">
        <v>132</v>
      </c>
      <c r="C6" s="12" t="s">
        <v>423</v>
      </c>
      <c r="D6" s="15">
        <v>8673561</v>
      </c>
      <c r="E6" s="8"/>
    </row>
    <row r="7" spans="1:5" x14ac:dyDescent="0.35">
      <c r="A7" s="12" t="s">
        <v>424</v>
      </c>
      <c r="B7" s="12" t="s">
        <v>150</v>
      </c>
      <c r="C7" s="12" t="s">
        <v>423</v>
      </c>
      <c r="D7" s="15">
        <v>35025</v>
      </c>
      <c r="E7" s="8"/>
    </row>
    <row r="8" spans="1:5" x14ac:dyDescent="0.35">
      <c r="A8" s="12" t="s">
        <v>425</v>
      </c>
      <c r="B8" s="12" t="s">
        <v>128</v>
      </c>
      <c r="C8" s="12" t="s">
        <v>284</v>
      </c>
      <c r="D8" s="15">
        <v>592649</v>
      </c>
      <c r="E8" s="8"/>
    </row>
    <row r="9" spans="1:5" ht="43.5" x14ac:dyDescent="0.35">
      <c r="A9" s="12" t="s">
        <v>426</v>
      </c>
      <c r="B9" s="12" t="s">
        <v>135</v>
      </c>
      <c r="C9" s="12" t="s">
        <v>427</v>
      </c>
      <c r="D9" s="15">
        <v>2066998</v>
      </c>
      <c r="E9" s="8" t="s">
        <v>428</v>
      </c>
    </row>
    <row r="10" spans="1:5" x14ac:dyDescent="0.35">
      <c r="A10" s="17"/>
      <c r="B10" s="16" t="s">
        <v>429</v>
      </c>
      <c r="C10" s="17"/>
      <c r="D10" s="18">
        <f>SUM(D5:D9)</f>
        <v>11742074</v>
      </c>
      <c r="E10" s="17"/>
    </row>
    <row r="12" spans="1:5" x14ac:dyDescent="0.35">
      <c r="A12" s="2" t="s">
        <v>430</v>
      </c>
    </row>
    <row r="13" spans="1:5" x14ac:dyDescent="0.35">
      <c r="A13" s="2" t="s">
        <v>431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D7D31"/>
  </sheetPr>
  <dimension ref="A1:C8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328125" defaultRowHeight="14.5" x14ac:dyDescent="0.35"/>
  <cols>
    <col min="1" max="1" width="30" customWidth="1"/>
    <col min="2" max="2" width="20" customWidth="1"/>
    <col min="3" max="3" width="55" customWidth="1"/>
  </cols>
  <sheetData>
    <row r="1" spans="1:3" ht="18" x14ac:dyDescent="0.4">
      <c r="A1" s="1" t="s">
        <v>432</v>
      </c>
    </row>
    <row r="2" spans="1:3" ht="174" x14ac:dyDescent="0.35">
      <c r="A2" s="14" t="s">
        <v>433</v>
      </c>
    </row>
    <row r="4" spans="1:3" ht="15.5" x14ac:dyDescent="0.35">
      <c r="A4" s="5" t="s">
        <v>246</v>
      </c>
      <c r="B4" s="5" t="s">
        <v>117</v>
      </c>
      <c r="C4" s="5" t="s">
        <v>434</v>
      </c>
    </row>
    <row r="5" spans="1:3" x14ac:dyDescent="0.35">
      <c r="A5" s="6" t="s">
        <v>435</v>
      </c>
      <c r="B5" s="15">
        <v>12662913</v>
      </c>
      <c r="C5" s="8" t="s">
        <v>436</v>
      </c>
    </row>
    <row r="6" spans="1:3" x14ac:dyDescent="0.35">
      <c r="A6" s="6" t="s">
        <v>437</v>
      </c>
      <c r="B6" s="15">
        <v>161272850</v>
      </c>
      <c r="C6" s="8" t="s">
        <v>438</v>
      </c>
    </row>
    <row r="7" spans="1:3" x14ac:dyDescent="0.35">
      <c r="A7" s="6" t="s">
        <v>439</v>
      </c>
      <c r="B7" s="15">
        <v>7000000</v>
      </c>
      <c r="C7" s="8" t="s">
        <v>440</v>
      </c>
    </row>
    <row r="8" spans="1:3" x14ac:dyDescent="0.35">
      <c r="A8" s="16" t="s">
        <v>441</v>
      </c>
      <c r="B8" s="18">
        <f>SUM(B5:B7)</f>
        <v>180935763</v>
      </c>
      <c r="C8" s="17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BI92"/>
  <sheetViews>
    <sheetView tabSelected="1" zoomScale="61" zoomScaleNormal="61" workbookViewId="0">
      <pane xSplit="1" ySplit="4" topLeftCell="B69" activePane="bottomRight" state="frozen"/>
      <selection pane="topRight" activeCell="B1" sqref="B1"/>
      <selection pane="bottomLeft" activeCell="A5" sqref="A5"/>
      <selection pane="bottomRight" activeCell="C85" sqref="C85"/>
    </sheetView>
  </sheetViews>
  <sheetFormatPr baseColWidth="10" defaultColWidth="8.6328125" defaultRowHeight="14.5" x14ac:dyDescent="0.35"/>
  <cols>
    <col min="1" max="1" width="106.36328125" bestFit="1" customWidth="1"/>
    <col min="2" max="2" width="16.36328125" style="69" bestFit="1" customWidth="1"/>
    <col min="3" max="42" width="16.36328125" bestFit="1" customWidth="1"/>
    <col min="43" max="43" width="15.1796875" bestFit="1" customWidth="1"/>
    <col min="44" max="46" width="13.453125" bestFit="1" customWidth="1"/>
    <col min="47" max="48" width="16.36328125" bestFit="1" customWidth="1"/>
    <col min="49" max="61" width="14.7265625" bestFit="1" customWidth="1"/>
  </cols>
  <sheetData>
    <row r="1" spans="1:61" ht="18" x14ac:dyDescent="0.4">
      <c r="A1" s="1" t="s">
        <v>442</v>
      </c>
      <c r="B1" s="68">
        <v>40850</v>
      </c>
    </row>
    <row r="2" spans="1:61" ht="87" x14ac:dyDescent="0.35">
      <c r="A2" s="14" t="s">
        <v>443</v>
      </c>
    </row>
    <row r="4" spans="1:61" ht="15.5" x14ac:dyDescent="0.35">
      <c r="A4" s="58" t="s">
        <v>246</v>
      </c>
      <c r="B4" s="70" t="s">
        <v>444</v>
      </c>
      <c r="C4" s="63" t="s">
        <v>445</v>
      </c>
      <c r="D4" s="38" t="s">
        <v>446</v>
      </c>
      <c r="E4" s="38" t="s">
        <v>447</v>
      </c>
      <c r="F4" s="38" t="s">
        <v>448</v>
      </c>
      <c r="G4" s="38" t="s">
        <v>449</v>
      </c>
      <c r="H4" s="38" t="s">
        <v>450</v>
      </c>
      <c r="I4" s="38" t="s">
        <v>451</v>
      </c>
      <c r="J4" s="38" t="s">
        <v>452</v>
      </c>
      <c r="K4" s="38" t="s">
        <v>453</v>
      </c>
      <c r="L4" s="38" t="s">
        <v>454</v>
      </c>
      <c r="M4" s="38" t="s">
        <v>455</v>
      </c>
      <c r="N4" s="38" t="s">
        <v>456</v>
      </c>
      <c r="O4" s="38" t="s">
        <v>457</v>
      </c>
      <c r="P4" s="38" t="s">
        <v>458</v>
      </c>
      <c r="Q4" s="38" t="s">
        <v>459</v>
      </c>
      <c r="R4" s="38" t="s">
        <v>460</v>
      </c>
      <c r="S4" s="38" t="s">
        <v>461</v>
      </c>
      <c r="T4" s="38" t="s">
        <v>462</v>
      </c>
      <c r="U4" s="38" t="s">
        <v>463</v>
      </c>
      <c r="V4" s="38" t="s">
        <v>464</v>
      </c>
      <c r="W4" s="38" t="s">
        <v>465</v>
      </c>
      <c r="X4" s="38" t="s">
        <v>466</v>
      </c>
      <c r="Y4" s="38" t="s">
        <v>467</v>
      </c>
      <c r="Z4" s="38" t="s">
        <v>468</v>
      </c>
      <c r="AA4" s="38" t="s">
        <v>469</v>
      </c>
      <c r="AB4" s="38" t="s">
        <v>470</v>
      </c>
      <c r="AC4" s="38" t="s">
        <v>471</v>
      </c>
      <c r="AD4" s="38" t="s">
        <v>472</v>
      </c>
      <c r="AE4" s="38" t="s">
        <v>473</v>
      </c>
      <c r="AF4" s="38" t="s">
        <v>474</v>
      </c>
      <c r="AG4" s="38" t="s">
        <v>475</v>
      </c>
      <c r="AH4" s="38" t="s">
        <v>476</v>
      </c>
      <c r="AI4" s="38" t="s">
        <v>477</v>
      </c>
      <c r="AJ4" s="38" t="s">
        <v>478</v>
      </c>
      <c r="AK4" s="38" t="s">
        <v>479</v>
      </c>
      <c r="AL4" s="38" t="s">
        <v>480</v>
      </c>
      <c r="AM4" s="38" t="s">
        <v>481</v>
      </c>
      <c r="AN4" s="38" t="s">
        <v>482</v>
      </c>
      <c r="AO4" s="38" t="s">
        <v>483</v>
      </c>
      <c r="AP4" s="38" t="s">
        <v>484</v>
      </c>
      <c r="AQ4" s="38" t="s">
        <v>485</v>
      </c>
      <c r="AR4" s="38" t="s">
        <v>486</v>
      </c>
      <c r="AS4" s="38" t="s">
        <v>487</v>
      </c>
      <c r="AT4" s="38" t="s">
        <v>488</v>
      </c>
      <c r="AU4" s="38" t="s">
        <v>489</v>
      </c>
      <c r="AV4" s="38" t="s">
        <v>490</v>
      </c>
      <c r="AW4" s="38" t="s">
        <v>491</v>
      </c>
      <c r="AX4" s="38" t="s">
        <v>492</v>
      </c>
      <c r="AY4" s="38" t="s">
        <v>493</v>
      </c>
      <c r="AZ4" s="38" t="s">
        <v>494</v>
      </c>
      <c r="BA4" s="38" t="s">
        <v>495</v>
      </c>
      <c r="BB4" s="38" t="s">
        <v>496</v>
      </c>
      <c r="BC4" s="38" t="s">
        <v>497</v>
      </c>
      <c r="BD4" s="38" t="s">
        <v>498</v>
      </c>
      <c r="BE4" s="38" t="s">
        <v>499</v>
      </c>
      <c r="BF4" s="38" t="s">
        <v>500</v>
      </c>
      <c r="BG4" s="38" t="s">
        <v>501</v>
      </c>
      <c r="BH4" s="38" t="s">
        <v>502</v>
      </c>
      <c r="BI4" s="38" t="s">
        <v>503</v>
      </c>
    </row>
    <row r="5" spans="1:61" x14ac:dyDescent="0.35">
      <c r="A5" s="3" t="s">
        <v>504</v>
      </c>
      <c r="B5" s="71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</row>
    <row r="6" spans="1:61" x14ac:dyDescent="0.35">
      <c r="A6" s="59" t="s">
        <v>646</v>
      </c>
      <c r="B6" s="72">
        <f>1670000+965000</f>
        <v>2635000</v>
      </c>
      <c r="C6" s="64">
        <v>2739616</v>
      </c>
      <c r="D6" s="15">
        <v>2739616</v>
      </c>
      <c r="E6" s="15">
        <v>2739616</v>
      </c>
      <c r="F6" s="15">
        <v>2739616</v>
      </c>
      <c r="G6" s="15">
        <v>2739616</v>
      </c>
      <c r="H6" s="15">
        <v>2739616</v>
      </c>
      <c r="I6" s="15">
        <v>2739616</v>
      </c>
      <c r="J6" s="15">
        <v>2739616</v>
      </c>
      <c r="K6" s="15">
        <v>2739616</v>
      </c>
      <c r="L6" s="15">
        <v>2739616</v>
      </c>
      <c r="M6" s="15">
        <v>2739616</v>
      </c>
      <c r="N6" s="15">
        <v>2739616</v>
      </c>
      <c r="O6" s="15">
        <v>2739616</v>
      </c>
      <c r="P6" s="15">
        <v>2739616</v>
      </c>
      <c r="Q6" s="15">
        <v>2739616</v>
      </c>
      <c r="R6" s="15">
        <v>2739616</v>
      </c>
      <c r="S6" s="15">
        <v>2739616</v>
      </c>
      <c r="T6" s="15">
        <v>2739616</v>
      </c>
      <c r="U6" s="15">
        <v>2739616</v>
      </c>
      <c r="V6" s="15">
        <v>2739616</v>
      </c>
      <c r="W6" s="15">
        <v>2739616</v>
      </c>
      <c r="X6" s="15">
        <v>2739616</v>
      </c>
      <c r="Y6" s="15">
        <v>2739616</v>
      </c>
      <c r="Z6" s="15">
        <v>2739616</v>
      </c>
      <c r="AA6" s="15">
        <v>2739616</v>
      </c>
      <c r="AB6" s="15">
        <v>2739616</v>
      </c>
      <c r="AC6" s="15">
        <v>2739616</v>
      </c>
      <c r="AD6" s="15">
        <v>2739616</v>
      </c>
      <c r="AE6" s="15">
        <v>2739616</v>
      </c>
      <c r="AF6" s="15">
        <v>2739616</v>
      </c>
      <c r="AG6" s="15">
        <v>2739616</v>
      </c>
      <c r="AH6" s="15">
        <v>2739616</v>
      </c>
      <c r="AI6" s="15">
        <v>2739616</v>
      </c>
      <c r="AJ6" s="15">
        <v>2739616</v>
      </c>
      <c r="AK6" s="15">
        <v>2739616</v>
      </c>
      <c r="AL6" s="15">
        <v>2739616</v>
      </c>
      <c r="AM6" s="15">
        <v>2739616</v>
      </c>
      <c r="AN6" s="15">
        <v>2739616</v>
      </c>
      <c r="AO6" s="15">
        <v>2739616</v>
      </c>
      <c r="AP6" s="15">
        <v>2739616</v>
      </c>
      <c r="AQ6" s="15">
        <v>2739616</v>
      </c>
      <c r="AR6" s="15">
        <v>2739616</v>
      </c>
      <c r="AS6" s="15">
        <v>2739616</v>
      </c>
      <c r="AT6" s="15">
        <v>2739616</v>
      </c>
      <c r="AU6" s="15">
        <v>2739616</v>
      </c>
      <c r="AV6" s="15">
        <v>2739616</v>
      </c>
      <c r="AW6" s="15">
        <v>2739616</v>
      </c>
      <c r="AX6" s="15">
        <v>2739616</v>
      </c>
      <c r="AY6" s="15">
        <v>2739616</v>
      </c>
      <c r="AZ6" s="15">
        <v>2739616</v>
      </c>
      <c r="BA6" s="15">
        <v>2739616</v>
      </c>
      <c r="BB6" s="15">
        <v>2739616</v>
      </c>
      <c r="BC6" s="15">
        <v>2739616</v>
      </c>
      <c r="BD6" s="15">
        <v>2739616</v>
      </c>
      <c r="BE6" s="15">
        <v>2739616</v>
      </c>
      <c r="BF6" s="15">
        <v>2739616</v>
      </c>
      <c r="BG6" s="15">
        <v>2739616</v>
      </c>
      <c r="BH6" s="15">
        <v>2739616</v>
      </c>
      <c r="BI6" s="15">
        <v>2739616</v>
      </c>
    </row>
    <row r="7" spans="1:61" x14ac:dyDescent="0.35">
      <c r="A7" s="59" t="s">
        <v>505</v>
      </c>
      <c r="B7" s="72">
        <v>3440000</v>
      </c>
      <c r="C7" s="64">
        <v>3440000</v>
      </c>
      <c r="D7" s="15">
        <v>3440000</v>
      </c>
      <c r="E7" s="15">
        <v>3440000</v>
      </c>
      <c r="F7" s="15">
        <v>3440000</v>
      </c>
      <c r="G7" s="15">
        <v>3440000</v>
      </c>
      <c r="H7" s="15">
        <v>3440000</v>
      </c>
      <c r="I7" s="15">
        <v>3440000</v>
      </c>
      <c r="J7" s="15">
        <v>3440000</v>
      </c>
      <c r="K7" s="15">
        <v>3440000</v>
      </c>
      <c r="L7" s="15">
        <v>3440000</v>
      </c>
      <c r="M7" s="15">
        <v>3440000</v>
      </c>
      <c r="N7" s="15">
        <v>3440000</v>
      </c>
      <c r="O7" s="15">
        <v>3440000</v>
      </c>
      <c r="P7" s="15">
        <v>3440000</v>
      </c>
      <c r="Q7" s="15">
        <v>3440000</v>
      </c>
      <c r="R7" s="15">
        <v>3440000</v>
      </c>
      <c r="S7" s="15">
        <v>3440000</v>
      </c>
      <c r="T7" s="15">
        <v>3440000</v>
      </c>
      <c r="U7" s="15">
        <v>3440000</v>
      </c>
      <c r="V7" s="15">
        <v>3440000</v>
      </c>
      <c r="W7" s="15">
        <v>3440000</v>
      </c>
      <c r="X7" s="15">
        <v>3440000</v>
      </c>
      <c r="Y7" s="15">
        <v>3440000</v>
      </c>
      <c r="Z7" s="15">
        <v>3440000</v>
      </c>
      <c r="AA7" s="15">
        <v>3440000</v>
      </c>
      <c r="AB7" s="15">
        <v>3440000</v>
      </c>
      <c r="AC7" s="15">
        <v>3440000</v>
      </c>
      <c r="AD7" s="15">
        <v>3440000</v>
      </c>
      <c r="AE7" s="15">
        <v>3440000</v>
      </c>
      <c r="AF7" s="15">
        <v>3440000</v>
      </c>
      <c r="AG7" s="15">
        <v>3440000</v>
      </c>
      <c r="AH7" s="15">
        <v>3440000</v>
      </c>
      <c r="AI7" s="15">
        <v>3440000</v>
      </c>
      <c r="AJ7" s="15">
        <v>3440000</v>
      </c>
      <c r="AK7" s="15">
        <v>3440000</v>
      </c>
      <c r="AL7" s="15">
        <v>3440000</v>
      </c>
      <c r="AM7" s="15">
        <v>3440000</v>
      </c>
      <c r="AN7" s="15">
        <v>3440000</v>
      </c>
      <c r="AO7" s="15">
        <v>3440000</v>
      </c>
      <c r="AP7" s="15">
        <v>3440000</v>
      </c>
      <c r="AQ7" s="15">
        <v>3440000</v>
      </c>
      <c r="AR7" s="15">
        <v>3440000</v>
      </c>
      <c r="AS7" s="15">
        <v>3440000</v>
      </c>
      <c r="AT7" s="15">
        <v>3440000</v>
      </c>
      <c r="AU7" s="15">
        <v>3440000</v>
      </c>
      <c r="AV7" s="15">
        <v>3440000</v>
      </c>
      <c r="AW7" s="15">
        <v>3440000</v>
      </c>
      <c r="AX7" s="15">
        <v>3440000</v>
      </c>
      <c r="AY7" s="15">
        <v>3440000</v>
      </c>
      <c r="AZ7" s="15">
        <v>3440000</v>
      </c>
      <c r="BA7" s="15">
        <v>3440000</v>
      </c>
      <c r="BB7" s="15">
        <v>3440000</v>
      </c>
      <c r="BC7" s="15">
        <v>3440000</v>
      </c>
      <c r="BD7" s="15">
        <v>3440000</v>
      </c>
      <c r="BE7" s="15">
        <v>3440000</v>
      </c>
      <c r="BF7" s="15">
        <v>3440000</v>
      </c>
      <c r="BG7" s="15">
        <v>3440000</v>
      </c>
      <c r="BH7" s="15">
        <v>3440000</v>
      </c>
      <c r="BI7" s="15">
        <v>3440000</v>
      </c>
    </row>
    <row r="8" spans="1:61" x14ac:dyDescent="0.35">
      <c r="A8" s="59" t="s">
        <v>648</v>
      </c>
      <c r="B8" s="72">
        <v>1800000</v>
      </c>
      <c r="C8" s="64">
        <v>1800000</v>
      </c>
      <c r="D8" s="15">
        <v>1800000</v>
      </c>
      <c r="E8" s="15">
        <v>1800000</v>
      </c>
      <c r="F8" s="15">
        <v>1800000</v>
      </c>
      <c r="G8" s="15">
        <v>1800000</v>
      </c>
      <c r="H8" s="15">
        <v>1800000</v>
      </c>
      <c r="I8" s="15">
        <v>1800000</v>
      </c>
      <c r="J8" s="15">
        <v>1800000</v>
      </c>
      <c r="K8" s="15">
        <v>1800000</v>
      </c>
      <c r="L8" s="15">
        <v>1800000</v>
      </c>
      <c r="M8" s="15">
        <v>1800000</v>
      </c>
      <c r="N8" s="15">
        <v>1800000</v>
      </c>
      <c r="O8" s="15">
        <v>1800000</v>
      </c>
      <c r="P8" s="15">
        <v>1800000</v>
      </c>
      <c r="Q8" s="15">
        <v>1800000</v>
      </c>
      <c r="R8" s="15">
        <v>1800000</v>
      </c>
      <c r="S8" s="15">
        <v>1800000</v>
      </c>
      <c r="T8" s="15">
        <v>1800000</v>
      </c>
      <c r="U8" s="15">
        <v>1800000</v>
      </c>
      <c r="V8" s="15">
        <v>1800000</v>
      </c>
      <c r="W8" s="15">
        <v>1800000</v>
      </c>
      <c r="X8" s="15">
        <v>1800000</v>
      </c>
      <c r="Y8" s="15">
        <v>1800000</v>
      </c>
      <c r="Z8" s="15">
        <v>1800000</v>
      </c>
      <c r="AA8" s="15">
        <v>1800000</v>
      </c>
      <c r="AB8" s="15">
        <v>1800000</v>
      </c>
      <c r="AC8" s="15">
        <v>1800000</v>
      </c>
      <c r="AD8" s="15">
        <v>1800000</v>
      </c>
      <c r="AE8" s="15">
        <v>1800000</v>
      </c>
      <c r="AF8" s="15">
        <v>1800000</v>
      </c>
      <c r="AG8" s="15">
        <v>1800000</v>
      </c>
      <c r="AH8" s="15">
        <v>1800000</v>
      </c>
      <c r="AI8" s="15">
        <v>1800000</v>
      </c>
      <c r="AJ8" s="15">
        <v>1800000</v>
      </c>
      <c r="AK8" s="15">
        <v>1800000</v>
      </c>
      <c r="AL8" s="15">
        <v>1800000</v>
      </c>
      <c r="AM8" s="15">
        <v>1800000</v>
      </c>
      <c r="AN8" s="15">
        <v>1800000</v>
      </c>
      <c r="AO8" s="15">
        <v>1800000</v>
      </c>
      <c r="AP8" s="15">
        <v>1800000</v>
      </c>
      <c r="AQ8" s="15">
        <v>1800000</v>
      </c>
      <c r="AR8" s="15">
        <v>1800000</v>
      </c>
      <c r="AS8" s="15">
        <v>1800000</v>
      </c>
      <c r="AT8" s="15">
        <v>1800000</v>
      </c>
      <c r="AU8" s="15">
        <v>1800000</v>
      </c>
      <c r="AV8" s="15">
        <v>1800000</v>
      </c>
      <c r="AW8" s="15">
        <v>1800000</v>
      </c>
      <c r="AX8" s="15">
        <v>1800000</v>
      </c>
      <c r="AY8" s="15">
        <v>1800000</v>
      </c>
      <c r="AZ8" s="15">
        <v>1800000</v>
      </c>
      <c r="BA8" s="15">
        <v>1800000</v>
      </c>
      <c r="BB8" s="15">
        <v>1800000</v>
      </c>
      <c r="BC8" s="15">
        <v>1800000</v>
      </c>
      <c r="BD8" s="15">
        <v>1800000</v>
      </c>
      <c r="BE8" s="15">
        <v>1800000</v>
      </c>
      <c r="BF8" s="15">
        <v>1800000</v>
      </c>
      <c r="BG8" s="15">
        <v>1800000</v>
      </c>
      <c r="BH8" s="15">
        <v>1800000</v>
      </c>
      <c r="BI8" s="15">
        <v>1800000</v>
      </c>
    </row>
    <row r="9" spans="1:61" x14ac:dyDescent="0.35">
      <c r="A9" s="59" t="s">
        <v>647</v>
      </c>
      <c r="B9" s="72">
        <v>1000000</v>
      </c>
      <c r="C9" s="64">
        <v>1000000</v>
      </c>
      <c r="D9" s="15">
        <v>1000000</v>
      </c>
      <c r="E9" s="15">
        <v>1000000</v>
      </c>
      <c r="F9" s="15">
        <v>1000000</v>
      </c>
      <c r="G9" s="15">
        <v>1000000</v>
      </c>
      <c r="H9" s="15">
        <v>1000000</v>
      </c>
      <c r="I9" s="15">
        <v>1000000</v>
      </c>
      <c r="J9" s="15">
        <v>1000000</v>
      </c>
      <c r="K9" s="15">
        <v>1000000</v>
      </c>
      <c r="L9" s="15">
        <v>1000000</v>
      </c>
      <c r="M9" s="15">
        <v>1000000</v>
      </c>
      <c r="N9" s="15">
        <v>1000000</v>
      </c>
      <c r="O9" s="15">
        <v>1000000</v>
      </c>
      <c r="P9" s="15">
        <v>1000000</v>
      </c>
      <c r="Q9" s="15">
        <v>1000000</v>
      </c>
      <c r="R9" s="15">
        <v>1000000</v>
      </c>
      <c r="S9" s="15">
        <v>1000000</v>
      </c>
      <c r="T9" s="15">
        <v>1000000</v>
      </c>
      <c r="U9" s="15">
        <v>1000000</v>
      </c>
      <c r="V9" s="15">
        <v>1000000</v>
      </c>
      <c r="W9" s="15">
        <v>1000000</v>
      </c>
      <c r="X9" s="15">
        <v>1000000</v>
      </c>
      <c r="Y9" s="15">
        <v>1000000</v>
      </c>
      <c r="Z9" s="15">
        <v>1000000</v>
      </c>
      <c r="AA9" s="15">
        <v>1000000</v>
      </c>
      <c r="AB9" s="15">
        <v>1000000</v>
      </c>
      <c r="AC9" s="15">
        <v>1000000</v>
      </c>
      <c r="AD9" s="15">
        <v>1000000</v>
      </c>
      <c r="AE9" s="15">
        <v>1000000</v>
      </c>
      <c r="AF9" s="15">
        <v>1000000</v>
      </c>
      <c r="AG9" s="15">
        <v>1000000</v>
      </c>
      <c r="AH9" s="15">
        <v>1000000</v>
      </c>
      <c r="AI9" s="15">
        <v>1000000</v>
      </c>
      <c r="AJ9" s="15">
        <v>1000000</v>
      </c>
      <c r="AK9" s="15">
        <v>1000000</v>
      </c>
      <c r="AL9" s="15">
        <v>1000000</v>
      </c>
      <c r="AM9" s="15">
        <v>1000000</v>
      </c>
      <c r="AN9" s="15">
        <v>1000000</v>
      </c>
      <c r="AO9" s="15">
        <v>1000000</v>
      </c>
      <c r="AP9" s="15">
        <v>1000000</v>
      </c>
      <c r="AQ9" s="15">
        <v>1000000</v>
      </c>
      <c r="AR9" s="15">
        <v>1000000</v>
      </c>
      <c r="AS9" s="15">
        <v>1000000</v>
      </c>
      <c r="AT9" s="15">
        <v>1000000</v>
      </c>
      <c r="AU9" s="15">
        <v>1000000</v>
      </c>
      <c r="AV9" s="15">
        <v>1000000</v>
      </c>
      <c r="AW9" s="15">
        <v>1000000</v>
      </c>
      <c r="AX9" s="15">
        <v>1000000</v>
      </c>
      <c r="AY9" s="15">
        <v>1000000</v>
      </c>
      <c r="AZ9" s="15">
        <v>1000000</v>
      </c>
      <c r="BA9" s="15">
        <v>1000000</v>
      </c>
      <c r="BB9" s="15">
        <v>1000000</v>
      </c>
      <c r="BC9" s="15">
        <v>1000000</v>
      </c>
      <c r="BD9" s="15">
        <v>1000000</v>
      </c>
      <c r="BE9" s="15">
        <v>1000000</v>
      </c>
      <c r="BF9" s="15">
        <v>1000000</v>
      </c>
      <c r="BG9" s="15">
        <v>1000000</v>
      </c>
      <c r="BH9" s="15">
        <v>1000000</v>
      </c>
      <c r="BI9" s="15">
        <v>1000000</v>
      </c>
    </row>
    <row r="10" spans="1:61" x14ac:dyDescent="0.35">
      <c r="A10" s="59" t="s">
        <v>649</v>
      </c>
      <c r="B10" s="72">
        <v>230000</v>
      </c>
      <c r="C10" s="64">
        <v>230000</v>
      </c>
      <c r="D10" s="15">
        <v>230000</v>
      </c>
      <c r="E10" s="15">
        <v>230000</v>
      </c>
      <c r="F10" s="15">
        <v>230000</v>
      </c>
      <c r="G10" s="15">
        <v>230000</v>
      </c>
      <c r="H10" s="15">
        <v>230000</v>
      </c>
      <c r="I10" s="15">
        <v>230000</v>
      </c>
      <c r="J10" s="15">
        <v>230000</v>
      </c>
      <c r="K10" s="15">
        <v>230000</v>
      </c>
      <c r="L10" s="15">
        <v>230000</v>
      </c>
      <c r="M10" s="15">
        <v>230000</v>
      </c>
      <c r="N10" s="15">
        <v>230000</v>
      </c>
      <c r="O10" s="15">
        <v>230000</v>
      </c>
      <c r="P10" s="15">
        <v>230000</v>
      </c>
      <c r="Q10" s="15">
        <v>230000</v>
      </c>
      <c r="R10" s="15">
        <v>230000</v>
      </c>
      <c r="S10" s="15">
        <v>230000</v>
      </c>
      <c r="T10" s="15">
        <v>230000</v>
      </c>
      <c r="U10" s="15">
        <v>230000</v>
      </c>
      <c r="V10" s="15">
        <v>230000</v>
      </c>
      <c r="W10" s="15">
        <v>230000</v>
      </c>
      <c r="X10" s="15">
        <v>230000</v>
      </c>
      <c r="Y10" s="15">
        <v>230000</v>
      </c>
      <c r="Z10" s="15">
        <v>230000</v>
      </c>
      <c r="AA10" s="15">
        <v>230000</v>
      </c>
      <c r="AB10" s="15">
        <v>230000</v>
      </c>
      <c r="AC10" s="15">
        <v>230000</v>
      </c>
      <c r="AD10" s="15">
        <v>230000</v>
      </c>
      <c r="AE10" s="15">
        <v>230000</v>
      </c>
      <c r="AF10" s="15">
        <v>230000</v>
      </c>
      <c r="AG10" s="15">
        <v>230000</v>
      </c>
      <c r="AH10" s="15">
        <v>230000</v>
      </c>
      <c r="AI10" s="15">
        <v>230000</v>
      </c>
      <c r="AJ10" s="15">
        <v>230000</v>
      </c>
      <c r="AK10" s="15">
        <v>230000</v>
      </c>
      <c r="AL10" s="15">
        <v>230000</v>
      </c>
      <c r="AM10" s="15">
        <v>230000</v>
      </c>
      <c r="AN10" s="15">
        <v>230000</v>
      </c>
      <c r="AO10" s="15">
        <v>230000</v>
      </c>
      <c r="AP10" s="15">
        <v>230000</v>
      </c>
      <c r="AQ10" s="15">
        <v>230000</v>
      </c>
      <c r="AR10" s="15">
        <v>230000</v>
      </c>
      <c r="AS10" s="15">
        <v>230000</v>
      </c>
      <c r="AT10" s="15">
        <v>230000</v>
      </c>
      <c r="AU10" s="15">
        <v>230000</v>
      </c>
      <c r="AV10" s="15">
        <v>230000</v>
      </c>
      <c r="AW10" s="15">
        <v>230000</v>
      </c>
      <c r="AX10" s="15">
        <v>230000</v>
      </c>
      <c r="AY10" s="15">
        <v>230000</v>
      </c>
      <c r="AZ10" s="15">
        <v>230000</v>
      </c>
      <c r="BA10" s="15">
        <v>230000</v>
      </c>
      <c r="BB10" s="15">
        <v>230000</v>
      </c>
      <c r="BC10" s="15">
        <v>230000</v>
      </c>
      <c r="BD10" s="15">
        <v>230000</v>
      </c>
      <c r="BE10" s="15">
        <v>230000</v>
      </c>
      <c r="BF10" s="15">
        <v>230000</v>
      </c>
      <c r="BG10" s="15">
        <v>230000</v>
      </c>
      <c r="BH10" s="15">
        <v>230000</v>
      </c>
      <c r="BI10" s="15">
        <v>230000</v>
      </c>
    </row>
    <row r="11" spans="1:61" x14ac:dyDescent="0.35">
      <c r="A11" s="59" t="s">
        <v>506</v>
      </c>
      <c r="B11" s="72">
        <v>350000</v>
      </c>
      <c r="C11" s="64">
        <v>350000</v>
      </c>
      <c r="D11" s="15">
        <v>350000</v>
      </c>
      <c r="E11" s="15">
        <v>350000</v>
      </c>
      <c r="F11" s="15">
        <v>350000</v>
      </c>
      <c r="G11" s="15">
        <v>350000</v>
      </c>
      <c r="H11" s="15">
        <v>350000</v>
      </c>
      <c r="I11" s="15">
        <v>350000</v>
      </c>
      <c r="J11" s="15">
        <v>350000</v>
      </c>
      <c r="K11" s="15">
        <v>350000</v>
      </c>
      <c r="L11" s="15">
        <v>350000</v>
      </c>
      <c r="M11" s="15">
        <v>350000</v>
      </c>
      <c r="N11" s="15">
        <v>350000</v>
      </c>
      <c r="O11" s="15">
        <v>350000</v>
      </c>
      <c r="P11" s="15">
        <v>350000</v>
      </c>
      <c r="Q11" s="15">
        <v>350000</v>
      </c>
      <c r="R11" s="15">
        <v>350000</v>
      </c>
      <c r="S11" s="15">
        <v>350000</v>
      </c>
      <c r="T11" s="15">
        <v>350000</v>
      </c>
      <c r="U11" s="15">
        <v>350000</v>
      </c>
      <c r="V11" s="15">
        <v>350000</v>
      </c>
      <c r="W11" s="15">
        <v>350000</v>
      </c>
      <c r="X11" s="15">
        <v>350000</v>
      </c>
      <c r="Y11" s="15">
        <v>350000</v>
      </c>
      <c r="Z11" s="15">
        <v>350000</v>
      </c>
      <c r="AA11" s="15">
        <v>350000</v>
      </c>
      <c r="AB11" s="15">
        <v>350000</v>
      </c>
      <c r="AC11" s="15">
        <v>350000</v>
      </c>
      <c r="AD11" s="15">
        <v>350000</v>
      </c>
      <c r="AE11" s="15">
        <v>350000</v>
      </c>
      <c r="AF11" s="15">
        <v>350000</v>
      </c>
      <c r="AG11" s="15">
        <v>350000</v>
      </c>
      <c r="AH11" s="15">
        <v>350000</v>
      </c>
      <c r="AI11" s="15">
        <v>350000</v>
      </c>
      <c r="AJ11" s="15">
        <v>350000</v>
      </c>
      <c r="AK11" s="15">
        <v>350000</v>
      </c>
      <c r="AL11" s="15">
        <v>350000</v>
      </c>
      <c r="AM11" s="15">
        <v>350000</v>
      </c>
      <c r="AN11" s="15">
        <v>350000</v>
      </c>
      <c r="AO11" s="15">
        <v>350000</v>
      </c>
      <c r="AP11" s="15">
        <v>350000</v>
      </c>
      <c r="AQ11" s="15">
        <v>350000</v>
      </c>
      <c r="AR11" s="15">
        <v>350000</v>
      </c>
      <c r="AS11" s="15">
        <v>350000</v>
      </c>
      <c r="AT11" s="15">
        <v>350000</v>
      </c>
      <c r="AU11" s="15">
        <v>350000</v>
      </c>
      <c r="AV11" s="15">
        <v>350000</v>
      </c>
      <c r="AW11" s="15">
        <v>350000</v>
      </c>
      <c r="AX11" s="15">
        <v>350000</v>
      </c>
      <c r="AY11" s="15">
        <v>350000</v>
      </c>
      <c r="AZ11" s="15">
        <v>350000</v>
      </c>
      <c r="BA11" s="15">
        <v>350000</v>
      </c>
      <c r="BB11" s="15">
        <v>350000</v>
      </c>
      <c r="BC11" s="15">
        <v>350000</v>
      </c>
      <c r="BD11" s="15">
        <v>350000</v>
      </c>
      <c r="BE11" s="15">
        <v>350000</v>
      </c>
      <c r="BF11" s="15">
        <v>350000</v>
      </c>
      <c r="BG11" s="15">
        <v>350000</v>
      </c>
      <c r="BH11" s="15">
        <v>350000</v>
      </c>
      <c r="BI11" s="15">
        <v>350000</v>
      </c>
    </row>
    <row r="12" spans="1:61" x14ac:dyDescent="0.35">
      <c r="A12" s="59" t="s">
        <v>650</v>
      </c>
      <c r="B12" s="72">
        <v>650000</v>
      </c>
      <c r="C12" s="64">
        <v>650000</v>
      </c>
      <c r="D12" s="15">
        <v>650000</v>
      </c>
      <c r="E12" s="15">
        <v>650000</v>
      </c>
      <c r="F12" s="15">
        <v>650000</v>
      </c>
      <c r="G12" s="15">
        <v>650000</v>
      </c>
      <c r="H12" s="15">
        <v>650000</v>
      </c>
      <c r="I12" s="15">
        <v>650000</v>
      </c>
      <c r="J12" s="15">
        <v>650000</v>
      </c>
      <c r="K12" s="15">
        <v>650000</v>
      </c>
      <c r="L12" s="15">
        <v>650000</v>
      </c>
      <c r="M12" s="15">
        <v>650000</v>
      </c>
      <c r="N12" s="15">
        <v>650000</v>
      </c>
      <c r="O12" s="15">
        <v>650000</v>
      </c>
      <c r="P12" s="15">
        <v>650000</v>
      </c>
      <c r="Q12" s="15">
        <v>650000</v>
      </c>
      <c r="R12" s="15">
        <v>650000</v>
      </c>
      <c r="S12" s="15">
        <v>650000</v>
      </c>
      <c r="T12" s="15">
        <v>650000</v>
      </c>
      <c r="U12" s="15">
        <v>650000</v>
      </c>
      <c r="V12" s="15">
        <v>650000</v>
      </c>
      <c r="W12" s="15">
        <v>650000</v>
      </c>
      <c r="X12" s="15">
        <v>650000</v>
      </c>
      <c r="Y12" s="15">
        <v>650000</v>
      </c>
      <c r="Z12" s="15">
        <v>650000</v>
      </c>
      <c r="AA12" s="15">
        <v>650000</v>
      </c>
      <c r="AB12" s="15">
        <v>650000</v>
      </c>
      <c r="AC12" s="15">
        <v>650000</v>
      </c>
      <c r="AD12" s="15">
        <v>650000</v>
      </c>
      <c r="AE12" s="15">
        <v>650000</v>
      </c>
      <c r="AF12" s="15">
        <v>650000</v>
      </c>
      <c r="AG12" s="15">
        <v>650000</v>
      </c>
      <c r="AH12" s="15">
        <v>650000</v>
      </c>
      <c r="AI12" s="15">
        <v>650000</v>
      </c>
      <c r="AJ12" s="15">
        <v>650000</v>
      </c>
      <c r="AK12" s="15">
        <v>650000</v>
      </c>
      <c r="AL12" s="15">
        <v>650000</v>
      </c>
      <c r="AM12" s="15">
        <v>650000</v>
      </c>
      <c r="AN12" s="15">
        <v>650000</v>
      </c>
      <c r="AO12" s="15">
        <v>650000</v>
      </c>
      <c r="AP12" s="15">
        <v>650000</v>
      </c>
      <c r="AQ12" s="15">
        <v>650000</v>
      </c>
      <c r="AR12" s="15">
        <v>650000</v>
      </c>
      <c r="AS12" s="15">
        <v>650000</v>
      </c>
      <c r="AT12" s="15">
        <v>650000</v>
      </c>
      <c r="AU12" s="15">
        <v>650000</v>
      </c>
      <c r="AV12" s="15">
        <v>650000</v>
      </c>
      <c r="AW12" s="15">
        <v>650000</v>
      </c>
      <c r="AX12" s="15">
        <v>650000</v>
      </c>
      <c r="AY12" s="15">
        <v>650000</v>
      </c>
      <c r="AZ12" s="15">
        <v>650000</v>
      </c>
      <c r="BA12" s="15">
        <v>650000</v>
      </c>
      <c r="BB12" s="15">
        <v>650000</v>
      </c>
      <c r="BC12" s="15">
        <v>650000</v>
      </c>
      <c r="BD12" s="15">
        <v>650000</v>
      </c>
      <c r="BE12" s="15">
        <v>650000</v>
      </c>
      <c r="BF12" s="15">
        <v>650000</v>
      </c>
      <c r="BG12" s="15">
        <v>650000</v>
      </c>
      <c r="BH12" s="15">
        <v>650000</v>
      </c>
      <c r="BI12" s="15">
        <v>579000</v>
      </c>
    </row>
    <row r="13" spans="1:61" x14ac:dyDescent="0.35">
      <c r="A13" s="59" t="s">
        <v>651</v>
      </c>
      <c r="B13" s="72">
        <f>6*210000</f>
        <v>1260000</v>
      </c>
      <c r="C13" s="64">
        <f t="shared" ref="C13:Z13" si="0">6*210000</f>
        <v>1260000</v>
      </c>
      <c r="D13" s="15">
        <f t="shared" si="0"/>
        <v>1260000</v>
      </c>
      <c r="E13" s="15">
        <f t="shared" si="0"/>
        <v>1260000</v>
      </c>
      <c r="F13" s="15">
        <f t="shared" si="0"/>
        <v>1260000</v>
      </c>
      <c r="G13" s="15">
        <f t="shared" si="0"/>
        <v>1260000</v>
      </c>
      <c r="H13" s="15">
        <f t="shared" si="0"/>
        <v>1260000</v>
      </c>
      <c r="I13" s="15">
        <f t="shared" si="0"/>
        <v>1260000</v>
      </c>
      <c r="J13" s="15">
        <f t="shared" si="0"/>
        <v>1260000</v>
      </c>
      <c r="K13" s="15">
        <f t="shared" si="0"/>
        <v>1260000</v>
      </c>
      <c r="L13" s="15">
        <f t="shared" si="0"/>
        <v>1260000</v>
      </c>
      <c r="M13" s="15">
        <f t="shared" si="0"/>
        <v>1260000</v>
      </c>
      <c r="N13" s="15">
        <f t="shared" si="0"/>
        <v>1260000</v>
      </c>
      <c r="O13" s="15">
        <f t="shared" si="0"/>
        <v>1260000</v>
      </c>
      <c r="P13" s="15">
        <f t="shared" si="0"/>
        <v>1260000</v>
      </c>
      <c r="Q13" s="15">
        <f t="shared" si="0"/>
        <v>1260000</v>
      </c>
      <c r="R13" s="15">
        <f t="shared" si="0"/>
        <v>1260000</v>
      </c>
      <c r="S13" s="15">
        <f t="shared" si="0"/>
        <v>1260000</v>
      </c>
      <c r="T13" s="15">
        <f t="shared" si="0"/>
        <v>1260000</v>
      </c>
      <c r="U13" s="15">
        <f t="shared" si="0"/>
        <v>1260000</v>
      </c>
      <c r="V13" s="15">
        <f t="shared" si="0"/>
        <v>1260000</v>
      </c>
      <c r="W13" s="15">
        <f t="shared" si="0"/>
        <v>1260000</v>
      </c>
      <c r="X13" s="15">
        <f t="shared" si="0"/>
        <v>1260000</v>
      </c>
      <c r="Y13" s="15">
        <f t="shared" si="0"/>
        <v>1260000</v>
      </c>
      <c r="Z13" s="15">
        <f t="shared" si="0"/>
        <v>1260000</v>
      </c>
      <c r="AA13" s="15">
        <v>972350</v>
      </c>
      <c r="AB13" s="15">
        <v>972350</v>
      </c>
      <c r="AC13" s="15">
        <v>972350</v>
      </c>
      <c r="AD13" s="15">
        <v>972350</v>
      </c>
      <c r="AE13" s="15">
        <v>972350</v>
      </c>
      <c r="AF13" s="15">
        <v>972350</v>
      </c>
      <c r="AG13" s="15">
        <v>972350</v>
      </c>
      <c r="AH13" s="15">
        <v>972350</v>
      </c>
      <c r="AI13" s="15">
        <v>972350</v>
      </c>
      <c r="AJ13" s="15">
        <v>972350</v>
      </c>
      <c r="AK13" s="15">
        <v>972350</v>
      </c>
      <c r="AL13" s="15">
        <v>972350</v>
      </c>
      <c r="AM13" s="15">
        <v>972350</v>
      </c>
      <c r="AN13" s="15">
        <v>972350</v>
      </c>
      <c r="AO13" s="15">
        <v>972350</v>
      </c>
      <c r="AP13" s="15">
        <v>972350</v>
      </c>
      <c r="AQ13" s="15">
        <v>972350</v>
      </c>
      <c r="AR13" s="15">
        <v>972350</v>
      </c>
      <c r="AS13" s="15">
        <v>972350</v>
      </c>
      <c r="AT13" s="15">
        <v>972350</v>
      </c>
      <c r="AU13" s="15">
        <v>972350</v>
      </c>
      <c r="AV13" s="15">
        <v>972350</v>
      </c>
      <c r="AW13" s="15">
        <v>972350</v>
      </c>
      <c r="AX13" s="15">
        <v>972350</v>
      </c>
      <c r="AY13" s="15">
        <v>972350</v>
      </c>
      <c r="AZ13" s="15">
        <v>972350</v>
      </c>
      <c r="BA13" s="15">
        <v>972350</v>
      </c>
      <c r="BB13" s="15">
        <v>972350</v>
      </c>
      <c r="BC13" s="15">
        <v>972350</v>
      </c>
      <c r="BD13" s="15">
        <v>972350</v>
      </c>
      <c r="BE13" s="15">
        <v>972350</v>
      </c>
      <c r="BF13" s="15">
        <v>972350</v>
      </c>
      <c r="BG13" s="15">
        <v>972350</v>
      </c>
      <c r="BH13" s="15">
        <v>972350</v>
      </c>
      <c r="BI13" s="15">
        <v>972350</v>
      </c>
    </row>
    <row r="14" spans="1:61" x14ac:dyDescent="0.35">
      <c r="A14" s="59" t="s">
        <v>691</v>
      </c>
      <c r="B14" s="72">
        <v>520000</v>
      </c>
      <c r="C14" s="72">
        <v>520000</v>
      </c>
      <c r="D14" s="72">
        <v>520000</v>
      </c>
      <c r="E14" s="72">
        <v>520000</v>
      </c>
      <c r="F14" s="72">
        <v>520000</v>
      </c>
      <c r="G14" s="72">
        <v>520000</v>
      </c>
      <c r="H14" s="72">
        <v>520000</v>
      </c>
      <c r="I14" s="72">
        <v>520000</v>
      </c>
      <c r="J14" s="72">
        <v>520000</v>
      </c>
      <c r="K14" s="72">
        <v>520000</v>
      </c>
      <c r="L14" s="72">
        <v>520000</v>
      </c>
      <c r="M14" s="72">
        <v>520000</v>
      </c>
      <c r="N14" s="72">
        <v>520000</v>
      </c>
      <c r="O14" s="72">
        <v>520000</v>
      </c>
      <c r="P14" s="72">
        <v>520000</v>
      </c>
      <c r="Q14" s="72">
        <v>520000</v>
      </c>
      <c r="R14" s="72">
        <v>520000</v>
      </c>
      <c r="S14" s="72">
        <v>520000</v>
      </c>
      <c r="T14" s="72">
        <v>520000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</row>
    <row r="15" spans="1:61" x14ac:dyDescent="0.35">
      <c r="A15" s="59" t="s">
        <v>652</v>
      </c>
      <c r="B15" s="72">
        <f>2000000/(1-0.1575)</f>
        <v>2373887.240356083</v>
      </c>
      <c r="C15" s="64">
        <f t="shared" ref="C15:BI15" si="1">2000000/(1-0.1575)</f>
        <v>2373887.240356083</v>
      </c>
      <c r="D15" s="15">
        <f t="shared" si="1"/>
        <v>2373887.240356083</v>
      </c>
      <c r="E15" s="15">
        <f t="shared" si="1"/>
        <v>2373887.240356083</v>
      </c>
      <c r="F15" s="15">
        <f t="shared" si="1"/>
        <v>2373887.240356083</v>
      </c>
      <c r="G15" s="15">
        <f t="shared" si="1"/>
        <v>2373887.240356083</v>
      </c>
      <c r="H15" s="15">
        <f t="shared" si="1"/>
        <v>2373887.240356083</v>
      </c>
      <c r="I15" s="15">
        <f t="shared" si="1"/>
        <v>2373887.240356083</v>
      </c>
      <c r="J15" s="15">
        <f t="shared" si="1"/>
        <v>2373887.240356083</v>
      </c>
      <c r="K15" s="15">
        <f t="shared" si="1"/>
        <v>2373887.240356083</v>
      </c>
      <c r="L15" s="15">
        <f t="shared" si="1"/>
        <v>2373887.240356083</v>
      </c>
      <c r="M15" s="15">
        <f t="shared" si="1"/>
        <v>2373887.240356083</v>
      </c>
      <c r="N15" s="15">
        <f t="shared" si="1"/>
        <v>2373887.240356083</v>
      </c>
      <c r="O15" s="15">
        <f t="shared" si="1"/>
        <v>2373887.240356083</v>
      </c>
      <c r="P15" s="15">
        <f t="shared" si="1"/>
        <v>2373887.240356083</v>
      </c>
      <c r="Q15" s="15">
        <f t="shared" si="1"/>
        <v>2373887.240356083</v>
      </c>
      <c r="R15" s="15">
        <f t="shared" si="1"/>
        <v>2373887.240356083</v>
      </c>
      <c r="S15" s="15">
        <f t="shared" si="1"/>
        <v>2373887.240356083</v>
      </c>
      <c r="T15" s="15">
        <f t="shared" si="1"/>
        <v>2373887.240356083</v>
      </c>
      <c r="U15" s="15">
        <f t="shared" si="1"/>
        <v>2373887.240356083</v>
      </c>
      <c r="V15" s="15">
        <f t="shared" si="1"/>
        <v>2373887.240356083</v>
      </c>
      <c r="W15" s="15">
        <f t="shared" si="1"/>
        <v>2373887.240356083</v>
      </c>
      <c r="X15" s="15">
        <f t="shared" si="1"/>
        <v>2373887.240356083</v>
      </c>
      <c r="Y15" s="15">
        <f t="shared" si="1"/>
        <v>2373887.240356083</v>
      </c>
      <c r="Z15" s="15">
        <f t="shared" si="1"/>
        <v>2373887.240356083</v>
      </c>
      <c r="AA15" s="15">
        <f t="shared" si="1"/>
        <v>2373887.240356083</v>
      </c>
      <c r="AB15" s="15">
        <f t="shared" si="1"/>
        <v>2373887.240356083</v>
      </c>
      <c r="AC15" s="15">
        <f t="shared" si="1"/>
        <v>2373887.240356083</v>
      </c>
      <c r="AD15" s="15">
        <f t="shared" si="1"/>
        <v>2373887.240356083</v>
      </c>
      <c r="AE15" s="15">
        <f t="shared" si="1"/>
        <v>2373887.240356083</v>
      </c>
      <c r="AF15" s="15">
        <f t="shared" si="1"/>
        <v>2373887.240356083</v>
      </c>
      <c r="AG15" s="15">
        <f t="shared" si="1"/>
        <v>2373887.240356083</v>
      </c>
      <c r="AH15" s="15">
        <f t="shared" si="1"/>
        <v>2373887.240356083</v>
      </c>
      <c r="AI15" s="15">
        <f t="shared" si="1"/>
        <v>2373887.240356083</v>
      </c>
      <c r="AJ15" s="15">
        <f t="shared" si="1"/>
        <v>2373887.240356083</v>
      </c>
      <c r="AK15" s="15">
        <f t="shared" si="1"/>
        <v>2373887.240356083</v>
      </c>
      <c r="AL15" s="15">
        <f t="shared" si="1"/>
        <v>2373887.240356083</v>
      </c>
      <c r="AM15" s="15">
        <f t="shared" si="1"/>
        <v>2373887.240356083</v>
      </c>
      <c r="AN15" s="15">
        <f t="shared" si="1"/>
        <v>2373887.240356083</v>
      </c>
      <c r="AO15" s="15">
        <f t="shared" si="1"/>
        <v>2373887.240356083</v>
      </c>
      <c r="AP15" s="15">
        <f t="shared" si="1"/>
        <v>2373887.240356083</v>
      </c>
      <c r="AQ15" s="15">
        <f t="shared" si="1"/>
        <v>2373887.240356083</v>
      </c>
      <c r="AR15" s="15">
        <f t="shared" si="1"/>
        <v>2373887.240356083</v>
      </c>
      <c r="AS15" s="15">
        <f t="shared" si="1"/>
        <v>2373887.240356083</v>
      </c>
      <c r="AT15" s="15">
        <f t="shared" si="1"/>
        <v>2373887.240356083</v>
      </c>
      <c r="AU15" s="15">
        <f t="shared" si="1"/>
        <v>2373887.240356083</v>
      </c>
      <c r="AV15" s="15">
        <f t="shared" si="1"/>
        <v>2373887.240356083</v>
      </c>
      <c r="AW15" s="15">
        <f t="shared" si="1"/>
        <v>2373887.240356083</v>
      </c>
      <c r="AX15" s="15">
        <f t="shared" si="1"/>
        <v>2373887.240356083</v>
      </c>
      <c r="AY15" s="15">
        <f t="shared" si="1"/>
        <v>2373887.240356083</v>
      </c>
      <c r="AZ15" s="15">
        <f t="shared" si="1"/>
        <v>2373887.240356083</v>
      </c>
      <c r="BA15" s="15">
        <f t="shared" si="1"/>
        <v>2373887.240356083</v>
      </c>
      <c r="BB15" s="15">
        <f t="shared" si="1"/>
        <v>2373887.240356083</v>
      </c>
      <c r="BC15" s="15">
        <f t="shared" si="1"/>
        <v>2373887.240356083</v>
      </c>
      <c r="BD15" s="15">
        <f t="shared" si="1"/>
        <v>2373887.240356083</v>
      </c>
      <c r="BE15" s="15">
        <f t="shared" si="1"/>
        <v>2373887.240356083</v>
      </c>
      <c r="BF15" s="15">
        <f t="shared" si="1"/>
        <v>2373887.240356083</v>
      </c>
      <c r="BG15" s="15">
        <f t="shared" si="1"/>
        <v>2373887.240356083</v>
      </c>
      <c r="BH15" s="15">
        <f t="shared" si="1"/>
        <v>2373887.240356083</v>
      </c>
      <c r="BI15" s="15">
        <f t="shared" si="1"/>
        <v>2373887.240356083</v>
      </c>
    </row>
    <row r="16" spans="1:61" x14ac:dyDescent="0.35">
      <c r="A16" s="59" t="s">
        <v>653</v>
      </c>
      <c r="B16" s="72">
        <v>0</v>
      </c>
      <c r="C16" s="64">
        <v>1624190.0647948165</v>
      </c>
      <c r="D16" s="15">
        <f>1000000/(1.1575)</f>
        <v>863930.88552915771</v>
      </c>
      <c r="E16" s="15">
        <f>C16</f>
        <v>1624190.0647948165</v>
      </c>
      <c r="F16" s="15">
        <v>1500000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/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3689000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3689000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3689000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</row>
    <row r="17" spans="1:61" x14ac:dyDescent="0.35">
      <c r="A17" s="59" t="s">
        <v>654</v>
      </c>
      <c r="B17" s="72">
        <v>4900000</v>
      </c>
      <c r="C17" s="64">
        <v>4900000</v>
      </c>
      <c r="D17" s="15">
        <v>4900000</v>
      </c>
      <c r="E17" s="15">
        <v>4900000</v>
      </c>
      <c r="F17" s="15">
        <v>4900000</v>
      </c>
      <c r="G17" s="15">
        <v>4900000</v>
      </c>
      <c r="H17" s="15">
        <v>4900000</v>
      </c>
      <c r="I17" s="15">
        <v>4900000</v>
      </c>
      <c r="J17" s="15">
        <v>4900000</v>
      </c>
      <c r="K17" s="15">
        <v>4900000</v>
      </c>
      <c r="L17" s="15">
        <v>4900000</v>
      </c>
      <c r="M17" s="15">
        <v>4900000</v>
      </c>
      <c r="N17" s="15">
        <v>4900000</v>
      </c>
      <c r="O17" s="15">
        <v>4900000</v>
      </c>
      <c r="P17" s="15">
        <v>4900000</v>
      </c>
      <c r="Q17" s="15">
        <v>4900000</v>
      </c>
      <c r="R17" s="15">
        <v>4900000</v>
      </c>
      <c r="S17" s="15">
        <v>4900000</v>
      </c>
      <c r="T17" s="15">
        <v>4900000</v>
      </c>
      <c r="U17" s="15">
        <v>4900000</v>
      </c>
      <c r="V17" s="15">
        <v>4900000</v>
      </c>
      <c r="W17" s="15">
        <v>4900000</v>
      </c>
      <c r="X17" s="15">
        <v>4900000</v>
      </c>
      <c r="Y17" s="15">
        <v>4900000</v>
      </c>
      <c r="Z17" s="15">
        <v>4900000</v>
      </c>
      <c r="AA17" s="15">
        <v>4900000</v>
      </c>
      <c r="AB17" s="15">
        <v>4900000</v>
      </c>
      <c r="AC17" s="15">
        <v>4900000</v>
      </c>
      <c r="AD17" s="15">
        <v>4900000</v>
      </c>
      <c r="AE17" s="15">
        <v>4900000</v>
      </c>
      <c r="AF17" s="15">
        <v>4900000</v>
      </c>
      <c r="AG17" s="15">
        <v>4900000</v>
      </c>
      <c r="AH17" s="15">
        <v>4900000</v>
      </c>
      <c r="AI17" s="15">
        <v>4900000</v>
      </c>
      <c r="AJ17" s="15">
        <v>4900000</v>
      </c>
      <c r="AK17" s="15">
        <v>4900000</v>
      </c>
      <c r="AL17" s="15">
        <v>4900000</v>
      </c>
      <c r="AM17" s="15">
        <v>4900000</v>
      </c>
      <c r="AN17" s="15">
        <v>4900000</v>
      </c>
      <c r="AO17" s="15">
        <v>4900000</v>
      </c>
      <c r="AP17" s="15">
        <v>4900000</v>
      </c>
      <c r="AQ17" s="15">
        <v>4900000</v>
      </c>
      <c r="AR17" s="15">
        <v>4900000</v>
      </c>
      <c r="AS17" s="15">
        <v>4900000</v>
      </c>
      <c r="AT17" s="15">
        <v>4900000</v>
      </c>
      <c r="AU17" s="15">
        <v>4900000</v>
      </c>
      <c r="AV17" s="15">
        <v>4900000</v>
      </c>
      <c r="AW17" s="15">
        <v>4900000</v>
      </c>
      <c r="AX17" s="15">
        <v>4900000</v>
      </c>
      <c r="AY17" s="15">
        <v>4900000</v>
      </c>
      <c r="AZ17" s="15">
        <v>4900000</v>
      </c>
      <c r="BA17" s="15">
        <v>4900000</v>
      </c>
      <c r="BB17" s="15">
        <v>4900000</v>
      </c>
      <c r="BC17" s="15">
        <v>4900000</v>
      </c>
      <c r="BD17" s="15">
        <v>4900000</v>
      </c>
      <c r="BE17" s="15">
        <v>4900000</v>
      </c>
      <c r="BF17" s="15">
        <v>4900000</v>
      </c>
      <c r="BG17" s="15">
        <v>4900000</v>
      </c>
      <c r="BH17" s="15">
        <v>4900000</v>
      </c>
      <c r="BI17" s="15">
        <v>4900000</v>
      </c>
    </row>
    <row r="18" spans="1:61" s="57" customFormat="1" x14ac:dyDescent="0.35">
      <c r="A18" s="60" t="s">
        <v>655</v>
      </c>
      <c r="B18" s="73">
        <f>3986184+552083</f>
        <v>4538267</v>
      </c>
      <c r="C18" s="65">
        <f t="shared" ref="C18:BI18" si="2">3986184+552083</f>
        <v>4538267</v>
      </c>
      <c r="D18" s="56">
        <f t="shared" si="2"/>
        <v>4538267</v>
      </c>
      <c r="E18" s="56">
        <f t="shared" si="2"/>
        <v>4538267</v>
      </c>
      <c r="F18" s="56">
        <f t="shared" si="2"/>
        <v>4538267</v>
      </c>
      <c r="G18" s="56">
        <f t="shared" si="2"/>
        <v>4538267</v>
      </c>
      <c r="H18" s="56">
        <f t="shared" si="2"/>
        <v>4538267</v>
      </c>
      <c r="I18" s="56">
        <f t="shared" si="2"/>
        <v>4538267</v>
      </c>
      <c r="J18" s="56">
        <f t="shared" si="2"/>
        <v>4538267</v>
      </c>
      <c r="K18" s="56">
        <f t="shared" si="2"/>
        <v>4538267</v>
      </c>
      <c r="L18" s="56">
        <f t="shared" si="2"/>
        <v>4538267</v>
      </c>
      <c r="M18" s="56">
        <f t="shared" si="2"/>
        <v>4538267</v>
      </c>
      <c r="N18" s="56">
        <f t="shared" si="2"/>
        <v>4538267</v>
      </c>
      <c r="O18" s="56">
        <f t="shared" si="2"/>
        <v>4538267</v>
      </c>
      <c r="P18" s="56">
        <f t="shared" si="2"/>
        <v>4538267</v>
      </c>
      <c r="Q18" s="56">
        <f t="shared" si="2"/>
        <v>4538267</v>
      </c>
      <c r="R18" s="56">
        <f t="shared" si="2"/>
        <v>4538267</v>
      </c>
      <c r="S18" s="56">
        <f t="shared" si="2"/>
        <v>4538267</v>
      </c>
      <c r="T18" s="56">
        <f t="shared" si="2"/>
        <v>4538267</v>
      </c>
      <c r="U18" s="56">
        <f t="shared" si="2"/>
        <v>4538267</v>
      </c>
      <c r="V18" s="56">
        <f t="shared" si="2"/>
        <v>4538267</v>
      </c>
      <c r="W18" s="56">
        <f t="shared" si="2"/>
        <v>4538267</v>
      </c>
      <c r="X18" s="56">
        <f t="shared" si="2"/>
        <v>4538267</v>
      </c>
      <c r="Y18" s="56">
        <f t="shared" si="2"/>
        <v>4538267</v>
      </c>
      <c r="Z18" s="56">
        <f t="shared" si="2"/>
        <v>4538267</v>
      </c>
      <c r="AA18" s="56">
        <f t="shared" si="2"/>
        <v>4538267</v>
      </c>
      <c r="AB18" s="56">
        <f t="shared" si="2"/>
        <v>4538267</v>
      </c>
      <c r="AC18" s="56">
        <f t="shared" si="2"/>
        <v>4538267</v>
      </c>
      <c r="AD18" s="56">
        <f t="shared" si="2"/>
        <v>4538267</v>
      </c>
      <c r="AE18" s="56">
        <f t="shared" si="2"/>
        <v>4538267</v>
      </c>
      <c r="AF18" s="56">
        <f t="shared" si="2"/>
        <v>4538267</v>
      </c>
      <c r="AG18" s="56">
        <f t="shared" si="2"/>
        <v>4538267</v>
      </c>
      <c r="AH18" s="56">
        <f t="shared" si="2"/>
        <v>4538267</v>
      </c>
      <c r="AI18" s="56">
        <f t="shared" si="2"/>
        <v>4538267</v>
      </c>
      <c r="AJ18" s="56">
        <f t="shared" si="2"/>
        <v>4538267</v>
      </c>
      <c r="AK18" s="56">
        <f t="shared" si="2"/>
        <v>4538267</v>
      </c>
      <c r="AL18" s="56">
        <f t="shared" si="2"/>
        <v>4538267</v>
      </c>
      <c r="AM18" s="56">
        <f t="shared" si="2"/>
        <v>4538267</v>
      </c>
      <c r="AN18" s="56">
        <f t="shared" si="2"/>
        <v>4538267</v>
      </c>
      <c r="AO18" s="56">
        <f t="shared" si="2"/>
        <v>4538267</v>
      </c>
      <c r="AP18" s="56">
        <f t="shared" si="2"/>
        <v>4538267</v>
      </c>
      <c r="AQ18" s="56">
        <f t="shared" si="2"/>
        <v>4538267</v>
      </c>
      <c r="AR18" s="56">
        <f t="shared" si="2"/>
        <v>4538267</v>
      </c>
      <c r="AS18" s="56">
        <f t="shared" si="2"/>
        <v>4538267</v>
      </c>
      <c r="AT18" s="56">
        <f t="shared" si="2"/>
        <v>4538267</v>
      </c>
      <c r="AU18" s="56">
        <f t="shared" si="2"/>
        <v>4538267</v>
      </c>
      <c r="AV18" s="56">
        <f t="shared" si="2"/>
        <v>4538267</v>
      </c>
      <c r="AW18" s="56">
        <f t="shared" si="2"/>
        <v>4538267</v>
      </c>
      <c r="AX18" s="56">
        <f t="shared" si="2"/>
        <v>4538267</v>
      </c>
      <c r="AY18" s="56">
        <f t="shared" si="2"/>
        <v>4538267</v>
      </c>
      <c r="AZ18" s="56">
        <f t="shared" si="2"/>
        <v>4538267</v>
      </c>
      <c r="BA18" s="56">
        <f t="shared" si="2"/>
        <v>4538267</v>
      </c>
      <c r="BB18" s="56">
        <f t="shared" si="2"/>
        <v>4538267</v>
      </c>
      <c r="BC18" s="56">
        <f t="shared" si="2"/>
        <v>4538267</v>
      </c>
      <c r="BD18" s="56">
        <f t="shared" si="2"/>
        <v>4538267</v>
      </c>
      <c r="BE18" s="56">
        <f t="shared" si="2"/>
        <v>4538267</v>
      </c>
      <c r="BF18" s="56">
        <f t="shared" si="2"/>
        <v>4538267</v>
      </c>
      <c r="BG18" s="56">
        <f t="shared" si="2"/>
        <v>4538267</v>
      </c>
      <c r="BH18" s="56">
        <f t="shared" si="2"/>
        <v>4538267</v>
      </c>
      <c r="BI18" s="56">
        <f t="shared" si="2"/>
        <v>4538267</v>
      </c>
    </row>
    <row r="19" spans="1:61" x14ac:dyDescent="0.35">
      <c r="A19" s="59" t="s">
        <v>656</v>
      </c>
      <c r="B19" s="72">
        <v>1614000</v>
      </c>
      <c r="C19" s="64">
        <v>1614000</v>
      </c>
      <c r="D19" s="15">
        <v>1614000</v>
      </c>
      <c r="E19" s="15">
        <v>1614000</v>
      </c>
      <c r="F19" s="15">
        <v>1614000</v>
      </c>
      <c r="G19" s="15">
        <v>1614000</v>
      </c>
      <c r="H19" s="15">
        <v>1614000</v>
      </c>
      <c r="I19" s="15">
        <v>1614000</v>
      </c>
      <c r="J19" s="15">
        <v>1614000</v>
      </c>
      <c r="K19" s="15">
        <v>1614000</v>
      </c>
      <c r="L19" s="15">
        <v>1614000</v>
      </c>
      <c r="M19" s="15">
        <v>1614000</v>
      </c>
      <c r="N19" s="15">
        <v>1614000</v>
      </c>
      <c r="O19" s="15">
        <v>1614000</v>
      </c>
      <c r="P19" s="15">
        <v>1614000</v>
      </c>
      <c r="Q19" s="15">
        <v>1614000</v>
      </c>
      <c r="R19" s="15">
        <v>1614000</v>
      </c>
      <c r="S19" s="15">
        <v>1614000</v>
      </c>
      <c r="T19" s="15">
        <v>1614000</v>
      </c>
      <c r="U19" s="15">
        <v>1614000</v>
      </c>
      <c r="V19" s="15">
        <v>1614000</v>
      </c>
      <c r="W19" s="15">
        <v>1614000</v>
      </c>
      <c r="X19" s="15">
        <v>1614000</v>
      </c>
      <c r="Y19" s="15">
        <v>1614000</v>
      </c>
      <c r="Z19" s="15">
        <v>1614000</v>
      </c>
      <c r="AA19" s="15">
        <v>1614000</v>
      </c>
      <c r="AB19" s="15">
        <v>1614000</v>
      </c>
      <c r="AC19" s="15">
        <v>1614000</v>
      </c>
      <c r="AD19" s="15">
        <v>1614000</v>
      </c>
      <c r="AE19" s="15">
        <v>1614000</v>
      </c>
      <c r="AF19" s="15">
        <v>1614000</v>
      </c>
      <c r="AG19" s="15">
        <v>1614000</v>
      </c>
      <c r="AH19" s="15">
        <v>1614000</v>
      </c>
      <c r="AI19" s="15">
        <v>1614000</v>
      </c>
      <c r="AJ19" s="15">
        <v>1614000</v>
      </c>
      <c r="AK19" s="15">
        <v>1614000</v>
      </c>
      <c r="AL19" s="15">
        <v>1614000</v>
      </c>
      <c r="AM19" s="15">
        <v>1614000</v>
      </c>
      <c r="AN19" s="15">
        <v>1614000</v>
      </c>
      <c r="AO19" s="15">
        <v>1614000</v>
      </c>
      <c r="AP19" s="15">
        <v>1614000</v>
      </c>
      <c r="AQ19" s="15">
        <v>1614000</v>
      </c>
      <c r="AR19" s="15">
        <v>1614000</v>
      </c>
      <c r="AS19" s="15">
        <v>1614000</v>
      </c>
      <c r="AT19" s="15">
        <v>1614000</v>
      </c>
      <c r="AU19" s="15">
        <v>1614000</v>
      </c>
      <c r="AV19" s="15">
        <v>1614000</v>
      </c>
      <c r="AW19" s="15">
        <v>1614000</v>
      </c>
      <c r="AX19" s="15">
        <v>1614000</v>
      </c>
      <c r="AY19" s="15">
        <v>1614000</v>
      </c>
      <c r="AZ19" s="15">
        <v>1614000</v>
      </c>
      <c r="BA19" s="15">
        <v>1614000</v>
      </c>
      <c r="BB19" s="15">
        <v>1614000</v>
      </c>
      <c r="BC19" s="15">
        <v>1614000</v>
      </c>
      <c r="BD19" s="15">
        <v>1614000</v>
      </c>
      <c r="BE19" s="15">
        <v>1614000</v>
      </c>
      <c r="BF19" s="15">
        <v>1614000</v>
      </c>
      <c r="BG19" s="15">
        <v>1614000</v>
      </c>
      <c r="BH19" s="15">
        <v>1614000</v>
      </c>
      <c r="BI19" s="15">
        <v>1614000</v>
      </c>
    </row>
    <row r="20" spans="1:61" x14ac:dyDescent="0.35">
      <c r="A20" s="59" t="s">
        <v>507</v>
      </c>
      <c r="B20" s="72">
        <v>3574385</v>
      </c>
      <c r="C20" s="64">
        <v>3574385</v>
      </c>
      <c r="D20" s="15">
        <v>3574385</v>
      </c>
      <c r="E20" s="15">
        <v>3574385</v>
      </c>
      <c r="F20" s="15">
        <v>3574385</v>
      </c>
      <c r="G20" s="15">
        <v>3574385</v>
      </c>
      <c r="H20" s="15">
        <v>3574385</v>
      </c>
      <c r="I20" s="15">
        <v>3574385</v>
      </c>
      <c r="J20" s="15">
        <v>3574385</v>
      </c>
      <c r="K20" s="15">
        <v>3574385</v>
      </c>
      <c r="L20" s="15">
        <v>3574385</v>
      </c>
      <c r="M20" s="15">
        <v>3574385</v>
      </c>
      <c r="N20" s="15">
        <v>3574385</v>
      </c>
      <c r="O20" s="15">
        <v>3574385</v>
      </c>
      <c r="P20" s="15">
        <v>3574385</v>
      </c>
      <c r="Q20" s="15">
        <v>3574385</v>
      </c>
      <c r="R20" s="15">
        <v>3574385</v>
      </c>
      <c r="S20" s="15">
        <v>3574385</v>
      </c>
      <c r="T20" s="15">
        <v>3574385</v>
      </c>
      <c r="U20" s="15">
        <v>3574385</v>
      </c>
      <c r="V20" s="15">
        <v>3574385</v>
      </c>
      <c r="W20" s="15">
        <v>3574385</v>
      </c>
      <c r="X20" s="15">
        <v>3574385</v>
      </c>
      <c r="Y20" s="15">
        <v>3574385</v>
      </c>
      <c r="Z20" s="15">
        <v>3574385</v>
      </c>
      <c r="AA20" s="15">
        <v>3574385</v>
      </c>
      <c r="AB20" s="15">
        <v>3574385</v>
      </c>
      <c r="AC20" s="15">
        <v>3574385</v>
      </c>
      <c r="AD20" s="15">
        <v>3574385</v>
      </c>
      <c r="AE20" s="15">
        <v>3574385</v>
      </c>
      <c r="AF20" s="15">
        <v>3574385</v>
      </c>
      <c r="AG20" s="15">
        <v>3574385</v>
      </c>
      <c r="AH20" s="15">
        <v>3574385</v>
      </c>
      <c r="AI20" s="15">
        <v>3574385</v>
      </c>
      <c r="AJ20" s="15">
        <v>3574385</v>
      </c>
      <c r="AK20" s="15">
        <v>3574385</v>
      </c>
      <c r="AL20" s="15">
        <v>3574385</v>
      </c>
      <c r="AM20" s="15">
        <v>3574385</v>
      </c>
      <c r="AN20" s="15">
        <v>3574385</v>
      </c>
      <c r="AO20" s="15">
        <v>3574385</v>
      </c>
      <c r="AP20" s="15">
        <v>3574385</v>
      </c>
      <c r="AQ20" s="15">
        <v>3574385</v>
      </c>
      <c r="AR20" s="15">
        <v>3574385</v>
      </c>
      <c r="AS20" s="15">
        <v>3574385</v>
      </c>
      <c r="AT20" s="15">
        <v>3574385</v>
      </c>
      <c r="AU20" s="15">
        <v>3574385</v>
      </c>
      <c r="AV20" s="15">
        <v>3574385</v>
      </c>
      <c r="AW20" s="15">
        <v>3574385</v>
      </c>
      <c r="AX20" s="15">
        <v>3574385</v>
      </c>
      <c r="AY20" s="15">
        <v>3574385</v>
      </c>
      <c r="AZ20" s="15">
        <v>3574385</v>
      </c>
      <c r="BA20" s="15">
        <v>3574385</v>
      </c>
      <c r="BB20" s="15">
        <v>3574385</v>
      </c>
      <c r="BC20" s="15">
        <v>3574385</v>
      </c>
      <c r="BD20" s="15">
        <v>3574385</v>
      </c>
      <c r="BE20" s="15">
        <v>3574385</v>
      </c>
      <c r="BF20" s="15">
        <v>3574385</v>
      </c>
      <c r="BG20" s="15">
        <v>3574385</v>
      </c>
      <c r="BH20" s="15">
        <v>3574385</v>
      </c>
      <c r="BI20" s="15">
        <v>3574385</v>
      </c>
    </row>
    <row r="21" spans="1:61" x14ac:dyDescent="0.35">
      <c r="A21" s="59" t="s">
        <v>679</v>
      </c>
      <c r="B21" s="72">
        <f>31.25*40850</f>
        <v>1276562.5</v>
      </c>
      <c r="C21" s="64">
        <v>1233967</v>
      </c>
      <c r="D21" s="15">
        <v>1233967</v>
      </c>
      <c r="E21" s="15">
        <v>1233967</v>
      </c>
      <c r="F21" s="15">
        <v>1233967</v>
      </c>
      <c r="G21" s="15">
        <v>1233967</v>
      </c>
      <c r="H21" s="15">
        <v>1233967</v>
      </c>
      <c r="I21" s="15">
        <v>1233967</v>
      </c>
      <c r="J21" s="15">
        <v>1233967</v>
      </c>
      <c r="K21" s="15">
        <v>1233967</v>
      </c>
      <c r="L21" s="15">
        <v>1233967</v>
      </c>
      <c r="M21" s="15">
        <v>1233967</v>
      </c>
      <c r="N21" s="15">
        <v>1233967</v>
      </c>
      <c r="O21" s="15">
        <v>1233967</v>
      </c>
      <c r="P21" s="15">
        <v>1233967</v>
      </c>
      <c r="Q21" s="15">
        <v>1233967</v>
      </c>
      <c r="R21" s="15">
        <v>1233967</v>
      </c>
      <c r="S21" s="15">
        <v>1233967</v>
      </c>
      <c r="T21" s="15">
        <v>1233967</v>
      </c>
      <c r="U21" s="15">
        <v>1233967</v>
      </c>
      <c r="V21" s="15">
        <v>1233967</v>
      </c>
      <c r="W21" s="15">
        <v>1233967</v>
      </c>
      <c r="X21" s="15">
        <v>1233967</v>
      </c>
      <c r="Y21" s="15">
        <v>1233967</v>
      </c>
      <c r="Z21" s="15">
        <v>1233967</v>
      </c>
      <c r="AA21" s="15">
        <v>1233967</v>
      </c>
      <c r="AB21" s="15">
        <v>1233967</v>
      </c>
      <c r="AC21" s="15">
        <v>1233967</v>
      </c>
      <c r="AD21" s="15">
        <v>1233967</v>
      </c>
      <c r="AE21" s="15">
        <v>1233967</v>
      </c>
      <c r="AF21" s="15">
        <v>1233967</v>
      </c>
      <c r="AG21" s="15">
        <v>1233967</v>
      </c>
      <c r="AH21" s="15">
        <v>1233967</v>
      </c>
      <c r="AI21" s="15">
        <v>1233967</v>
      </c>
      <c r="AJ21" s="15">
        <v>1233967</v>
      </c>
      <c r="AK21" s="15">
        <v>1233967</v>
      </c>
      <c r="AL21" s="15">
        <v>1233967</v>
      </c>
      <c r="AM21" s="15">
        <v>1233967</v>
      </c>
      <c r="AN21" s="15">
        <v>1233967</v>
      </c>
      <c r="AO21" s="15">
        <v>1233967</v>
      </c>
      <c r="AP21" s="15">
        <v>1233967</v>
      </c>
      <c r="AQ21" s="15">
        <v>1233967</v>
      </c>
      <c r="AR21" s="15">
        <v>1233967</v>
      </c>
      <c r="AS21" s="15">
        <v>1233967</v>
      </c>
      <c r="AT21" s="15">
        <v>1233967</v>
      </c>
      <c r="AU21" s="15">
        <v>1233967</v>
      </c>
      <c r="AV21" s="15">
        <v>1233967</v>
      </c>
      <c r="AW21" s="15">
        <v>1233967</v>
      </c>
      <c r="AX21" s="15">
        <v>1233967</v>
      </c>
      <c r="AY21" s="15">
        <v>1233967</v>
      </c>
      <c r="AZ21" s="15">
        <v>1233967</v>
      </c>
      <c r="BA21" s="15">
        <v>1233967</v>
      </c>
      <c r="BB21" s="15">
        <v>1233967</v>
      </c>
      <c r="BC21" s="15">
        <v>1233967</v>
      </c>
      <c r="BD21" s="15">
        <v>1233967</v>
      </c>
      <c r="BE21" s="15">
        <v>1233967</v>
      </c>
      <c r="BF21" s="15">
        <v>1233967</v>
      </c>
      <c r="BG21" s="15">
        <v>1233967</v>
      </c>
      <c r="BH21" s="15">
        <v>1233967</v>
      </c>
      <c r="BI21" s="15">
        <v>1233967</v>
      </c>
    </row>
    <row r="22" spans="1:61" x14ac:dyDescent="0.35">
      <c r="A22" s="59" t="s">
        <v>508</v>
      </c>
      <c r="B22" s="72">
        <v>0</v>
      </c>
      <c r="C22" s="64">
        <v>0</v>
      </c>
      <c r="D22" s="15">
        <v>0</v>
      </c>
      <c r="E22" s="15">
        <v>26000000</v>
      </c>
      <c r="F22" s="15">
        <v>0</v>
      </c>
      <c r="G22" s="15">
        <v>0</v>
      </c>
      <c r="H22" s="15">
        <v>0</v>
      </c>
      <c r="I22" s="15">
        <v>16800000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26000000</v>
      </c>
      <c r="R22" s="15">
        <v>0</v>
      </c>
      <c r="S22" s="15">
        <v>0</v>
      </c>
      <c r="T22" s="15">
        <v>0</v>
      </c>
      <c r="U22" s="15">
        <v>16800000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26000000</v>
      </c>
      <c r="AD22" s="15">
        <v>0</v>
      </c>
      <c r="AE22" s="15">
        <v>0</v>
      </c>
      <c r="AF22" s="15">
        <v>0</v>
      </c>
      <c r="AG22" s="15">
        <v>16800000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26000000</v>
      </c>
      <c r="AP22" s="15">
        <v>0</v>
      </c>
      <c r="AQ22" s="15">
        <v>0</v>
      </c>
      <c r="AR22" s="15">
        <v>0</v>
      </c>
      <c r="AS22" s="15">
        <v>16800000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26000000</v>
      </c>
      <c r="BB22" s="15">
        <v>0</v>
      </c>
      <c r="BC22" s="15">
        <v>0</v>
      </c>
      <c r="BD22" s="15">
        <v>0</v>
      </c>
      <c r="BE22" s="15">
        <v>16800000</v>
      </c>
      <c r="BF22" s="15">
        <v>0</v>
      </c>
      <c r="BG22" s="15">
        <v>0</v>
      </c>
      <c r="BH22" s="15">
        <v>0</v>
      </c>
      <c r="BI22" s="15">
        <v>0</v>
      </c>
    </row>
    <row r="23" spans="1:61" x14ac:dyDescent="0.35">
      <c r="A23" s="59" t="s">
        <v>509</v>
      </c>
      <c r="B23" s="72">
        <v>0</v>
      </c>
      <c r="C23" s="64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</row>
    <row r="24" spans="1:61" x14ac:dyDescent="0.35">
      <c r="A24" s="61" t="s">
        <v>510</v>
      </c>
      <c r="B24" s="74">
        <v>8806064</v>
      </c>
      <c r="C24" s="66">
        <v>8806064</v>
      </c>
      <c r="D24" s="25">
        <v>8806064</v>
      </c>
      <c r="E24" s="25">
        <v>8806064</v>
      </c>
      <c r="F24" s="25">
        <v>8806064</v>
      </c>
      <c r="G24" s="25">
        <v>8806064</v>
      </c>
      <c r="H24" s="25">
        <v>8806064</v>
      </c>
      <c r="I24" s="25">
        <v>8806064</v>
      </c>
      <c r="J24" s="25">
        <v>8806064</v>
      </c>
      <c r="K24" s="25">
        <v>8806064</v>
      </c>
      <c r="L24" s="25">
        <v>8806064</v>
      </c>
      <c r="M24" s="25">
        <v>8806064</v>
      </c>
      <c r="N24" s="25">
        <v>8806064</v>
      </c>
      <c r="O24" s="25">
        <v>8806064</v>
      </c>
      <c r="P24" s="25">
        <v>8806064</v>
      </c>
      <c r="Q24" s="25">
        <v>8806064</v>
      </c>
      <c r="R24" s="25">
        <v>8806064</v>
      </c>
      <c r="S24" s="25">
        <v>8806064</v>
      </c>
      <c r="T24" s="25">
        <v>8806064</v>
      </c>
      <c r="U24" s="25">
        <v>8806064</v>
      </c>
      <c r="V24" s="25">
        <v>8806064</v>
      </c>
      <c r="W24" s="25">
        <v>8806064</v>
      </c>
      <c r="X24" s="25">
        <v>8806064</v>
      </c>
      <c r="Y24" s="25">
        <v>8806064</v>
      </c>
      <c r="Z24" s="25">
        <v>8806064</v>
      </c>
      <c r="AA24" s="25">
        <v>8806064</v>
      </c>
      <c r="AB24" s="25">
        <v>8806064</v>
      </c>
      <c r="AC24" s="25">
        <v>8806064</v>
      </c>
      <c r="AD24" s="25">
        <v>8806064</v>
      </c>
      <c r="AE24" s="25">
        <v>8806064</v>
      </c>
      <c r="AF24" s="25">
        <v>8806064</v>
      </c>
      <c r="AG24" s="25">
        <v>8806064</v>
      </c>
      <c r="AH24" s="25">
        <v>8806064</v>
      </c>
      <c r="AI24" s="25">
        <v>8806064</v>
      </c>
      <c r="AJ24" s="25">
        <v>8806064</v>
      </c>
      <c r="AK24" s="25">
        <v>8806064</v>
      </c>
      <c r="AL24" s="25">
        <v>8806064</v>
      </c>
      <c r="AM24" s="25">
        <v>8806064</v>
      </c>
      <c r="AN24" s="25">
        <v>8806064</v>
      </c>
      <c r="AO24" s="25">
        <v>8806064</v>
      </c>
      <c r="AP24" s="25">
        <v>8806064</v>
      </c>
      <c r="AQ24" s="25">
        <v>8806064</v>
      </c>
      <c r="AR24" s="25">
        <v>8806064</v>
      </c>
      <c r="AS24" s="25">
        <v>8806064</v>
      </c>
      <c r="AT24" s="25">
        <v>8806064</v>
      </c>
      <c r="AU24" s="25">
        <v>8806064</v>
      </c>
      <c r="AV24" s="25">
        <v>8806064</v>
      </c>
      <c r="AW24" s="25">
        <v>8806064</v>
      </c>
      <c r="AX24" s="25">
        <v>8806064</v>
      </c>
      <c r="AY24" s="25">
        <v>8806064</v>
      </c>
      <c r="AZ24" s="25">
        <v>8806064</v>
      </c>
      <c r="BA24" s="25">
        <v>8806064</v>
      </c>
      <c r="BB24" s="25">
        <v>8806064</v>
      </c>
      <c r="BC24" s="25">
        <v>8806064</v>
      </c>
      <c r="BD24" s="25">
        <v>8806064</v>
      </c>
      <c r="BE24" s="25">
        <v>8806064</v>
      </c>
      <c r="BF24" s="25">
        <v>8806064</v>
      </c>
      <c r="BG24" s="25">
        <v>8806064</v>
      </c>
      <c r="BH24" s="25">
        <v>8806064</v>
      </c>
      <c r="BI24" s="25">
        <v>8806064</v>
      </c>
    </row>
    <row r="25" spans="1:61" x14ac:dyDescent="0.35">
      <c r="A25" s="2" t="s">
        <v>511</v>
      </c>
      <c r="B25" s="75">
        <v>4389035</v>
      </c>
      <c r="C25" s="39">
        <v>4389035</v>
      </c>
      <c r="D25" s="39">
        <v>4389035</v>
      </c>
      <c r="E25" s="39">
        <v>4389035</v>
      </c>
      <c r="F25" s="39">
        <v>4389035</v>
      </c>
      <c r="G25" s="39">
        <v>4389035</v>
      </c>
      <c r="H25" s="39">
        <v>4389035</v>
      </c>
      <c r="I25" s="39">
        <v>4389035</v>
      </c>
      <c r="J25" s="39">
        <v>4389035</v>
      </c>
      <c r="K25" s="39">
        <v>4389035</v>
      </c>
      <c r="L25" s="39">
        <v>4389035</v>
      </c>
      <c r="M25" s="39">
        <v>4389035</v>
      </c>
      <c r="N25" s="39">
        <v>4389035</v>
      </c>
      <c r="O25" s="39">
        <v>4389035</v>
      </c>
      <c r="P25" s="39">
        <v>4389035</v>
      </c>
      <c r="Q25" s="39">
        <v>4389035</v>
      </c>
      <c r="R25" s="39">
        <v>4389035</v>
      </c>
      <c r="S25" s="39">
        <v>4389035</v>
      </c>
      <c r="T25" s="39">
        <v>4389035</v>
      </c>
      <c r="U25" s="39">
        <v>4389035</v>
      </c>
      <c r="V25" s="39">
        <v>4389035</v>
      </c>
      <c r="W25" s="39">
        <v>4389035</v>
      </c>
      <c r="X25" s="39">
        <v>4389035</v>
      </c>
      <c r="Y25" s="39">
        <v>4389035</v>
      </c>
      <c r="Z25" s="39">
        <v>4389035</v>
      </c>
      <c r="AA25" s="39">
        <v>4389035</v>
      </c>
      <c r="AB25" s="39">
        <v>4389035</v>
      </c>
      <c r="AC25" s="39">
        <v>4389035</v>
      </c>
      <c r="AD25" s="39">
        <v>4389035</v>
      </c>
      <c r="AE25" s="39">
        <v>4389035</v>
      </c>
      <c r="AF25" s="39">
        <v>4389035</v>
      </c>
      <c r="AG25" s="39">
        <v>4389035</v>
      </c>
      <c r="AH25" s="39">
        <v>4389035</v>
      </c>
      <c r="AI25" s="39">
        <v>4389035</v>
      </c>
      <c r="AJ25" s="39">
        <v>4389035</v>
      </c>
      <c r="AK25" s="39">
        <v>4389035</v>
      </c>
      <c r="AL25" s="39">
        <v>4389035</v>
      </c>
      <c r="AM25" s="39">
        <v>4389035</v>
      </c>
      <c r="AN25" s="39">
        <v>4389035</v>
      </c>
      <c r="AO25" s="39">
        <v>4389035</v>
      </c>
      <c r="AP25" s="39">
        <v>4389035</v>
      </c>
      <c r="AQ25" s="39">
        <v>4817967</v>
      </c>
      <c r="AR25" s="39">
        <v>4389035</v>
      </c>
      <c r="AS25" s="39">
        <v>4389035</v>
      </c>
      <c r="AT25" s="39">
        <v>4389035</v>
      </c>
      <c r="AU25" s="39">
        <v>4389035</v>
      </c>
      <c r="AV25" s="39">
        <v>4389035</v>
      </c>
      <c r="AW25" s="39">
        <v>4389035</v>
      </c>
      <c r="AX25" s="39">
        <v>4389035</v>
      </c>
      <c r="AY25" s="39">
        <v>4389035</v>
      </c>
      <c r="AZ25" s="39">
        <v>4389035</v>
      </c>
      <c r="BA25" s="39">
        <v>4389035</v>
      </c>
      <c r="BB25" s="39">
        <v>4389035</v>
      </c>
      <c r="BC25" s="39">
        <v>4389035</v>
      </c>
      <c r="BD25" s="39">
        <v>4389035</v>
      </c>
      <c r="BE25" s="39">
        <v>4389035</v>
      </c>
      <c r="BF25" s="39">
        <v>4389035</v>
      </c>
      <c r="BG25" s="39">
        <v>4389035</v>
      </c>
      <c r="BH25" s="39">
        <v>4389035</v>
      </c>
      <c r="BI25" s="39">
        <v>4389035</v>
      </c>
    </row>
    <row r="26" spans="1:61" x14ac:dyDescent="0.35">
      <c r="A26" s="29" t="s">
        <v>512</v>
      </c>
      <c r="B26" s="76">
        <f>SUM(B6:B25)</f>
        <v>43357200.740356088</v>
      </c>
      <c r="C26" s="30">
        <f>SUM(C6:C25)</f>
        <v>45043411.305150896</v>
      </c>
      <c r="D26" s="30">
        <f>SUM(D6:D25)</f>
        <v>44283152.125885241</v>
      </c>
      <c r="E26" s="30">
        <f>SUM(E6:E25)</f>
        <v>71043411.305150896</v>
      </c>
      <c r="F26" s="30">
        <f>SUM(F6:F25)</f>
        <v>44919221.240356088</v>
      </c>
      <c r="G26" s="30">
        <f>SUM(G6:G25)</f>
        <v>43419221.240356088</v>
      </c>
      <c r="H26" s="30">
        <f>SUM(H6:H25)</f>
        <v>43419221.240356088</v>
      </c>
      <c r="I26" s="30">
        <f>SUM(I6:I25)</f>
        <v>60219221.240356088</v>
      </c>
      <c r="J26" s="30">
        <f>SUM(J6:J25)</f>
        <v>43419221.240356088</v>
      </c>
      <c r="K26" s="30">
        <f>SUM(K6:K25)</f>
        <v>43419221.240356088</v>
      </c>
      <c r="L26" s="30">
        <f>SUM(L6:L25)</f>
        <v>43419221.240356088</v>
      </c>
      <c r="M26" s="30">
        <f>SUM(M6:M25)</f>
        <v>43419221.240356088</v>
      </c>
      <c r="N26" s="30">
        <f>SUM(N6:N25)</f>
        <v>43419221.240356088</v>
      </c>
      <c r="O26" s="30">
        <f>SUM(O6:O25)</f>
        <v>43419221.240356088</v>
      </c>
      <c r="P26" s="30">
        <f>SUM(P6:P25)</f>
        <v>43419221.240356088</v>
      </c>
      <c r="Q26" s="30">
        <f>SUM(Q6:Q25)</f>
        <v>69419221.240356088</v>
      </c>
      <c r="R26" s="30">
        <f>SUM(R6:R25)</f>
        <v>43419221.240356088</v>
      </c>
      <c r="S26" s="30">
        <f>SUM(S6:S25)</f>
        <v>43419221.240356088</v>
      </c>
      <c r="T26" s="30">
        <f>SUM(T6:T25)</f>
        <v>43419221.240356088</v>
      </c>
      <c r="U26" s="30">
        <f>SUM(U6:U25)</f>
        <v>59699221.240356088</v>
      </c>
      <c r="V26" s="30">
        <f>SUM(V6:V25)</f>
        <v>42899221.240356088</v>
      </c>
      <c r="W26" s="30">
        <f>SUM(W6:W25)</f>
        <v>42899221.240356088</v>
      </c>
      <c r="X26" s="30">
        <f>SUM(X6:X25)</f>
        <v>42899221.240356088</v>
      </c>
      <c r="Y26" s="30">
        <f>SUM(Y6:Y25)</f>
        <v>42899221.240356088</v>
      </c>
      <c r="Z26" s="30">
        <f>SUM(Z6:Z25)</f>
        <v>42899221.240356088</v>
      </c>
      <c r="AA26" s="30">
        <f>SUM(AA6:AA25)</f>
        <v>42611571.240356088</v>
      </c>
      <c r="AB26" s="30">
        <f>SUM(AB6:AB25)</f>
        <v>42611571.240356088</v>
      </c>
      <c r="AC26" s="30">
        <f>SUM(AC6:AC25)</f>
        <v>72300571.240356088</v>
      </c>
      <c r="AD26" s="30">
        <f>SUM(AD6:AD25)</f>
        <v>42611571.240356088</v>
      </c>
      <c r="AE26" s="30">
        <f>SUM(AE6:AE25)</f>
        <v>42611571.240356088</v>
      </c>
      <c r="AF26" s="30">
        <f>SUM(AF6:AF25)</f>
        <v>42611571.240356088</v>
      </c>
      <c r="AG26" s="30">
        <f>SUM(AG6:AG25)</f>
        <v>59411571.240356088</v>
      </c>
      <c r="AH26" s="30">
        <f>SUM(AH6:AH25)</f>
        <v>42611571.240356088</v>
      </c>
      <c r="AI26" s="30">
        <f>SUM(AI6:AI25)</f>
        <v>42611571.240356088</v>
      </c>
      <c r="AJ26" s="30">
        <f>SUM(AJ6:AJ25)</f>
        <v>42611571.240356088</v>
      </c>
      <c r="AK26" s="30">
        <f>SUM(AK6:AK25)</f>
        <v>42611571.240356088</v>
      </c>
      <c r="AL26" s="30">
        <f>SUM(AL6:AL25)</f>
        <v>42611571.240356088</v>
      </c>
      <c r="AM26" s="30">
        <f>SUM(AM6:AM25)</f>
        <v>42611571.240356088</v>
      </c>
      <c r="AN26" s="30">
        <f>SUM(AN6:AN25)</f>
        <v>42611571.240356088</v>
      </c>
      <c r="AO26" s="30">
        <f>SUM(AO6:AO25)</f>
        <v>72300571.240356088</v>
      </c>
      <c r="AP26" s="30">
        <f>SUM(AP6:AP25)</f>
        <v>42611571.240356088</v>
      </c>
      <c r="AQ26" s="30">
        <f>SUM(AQ6:AQ25)</f>
        <v>43040503.240356088</v>
      </c>
      <c r="AR26" s="30">
        <f>SUM(AR6:AR25)</f>
        <v>42611571.240356088</v>
      </c>
      <c r="AS26" s="30">
        <f>SUM(AS6:AS25)</f>
        <v>59411571.240356088</v>
      </c>
      <c r="AT26" s="30">
        <f>SUM(AT6:AT25)</f>
        <v>42611571.240356088</v>
      </c>
      <c r="AU26" s="30">
        <f>SUM(AU6:AU25)</f>
        <v>42611571.240356088</v>
      </c>
      <c r="AV26" s="30">
        <f>SUM(AV6:AV25)</f>
        <v>42611571.240356088</v>
      </c>
      <c r="AW26" s="30">
        <f>SUM(AW6:AW25)</f>
        <v>42611571.240356088</v>
      </c>
      <c r="AX26" s="30">
        <f>SUM(AX6:AX25)</f>
        <v>42611571.240356088</v>
      </c>
      <c r="AY26" s="30">
        <f>SUM(AY6:AY25)</f>
        <v>42611571.240356088</v>
      </c>
      <c r="AZ26" s="30">
        <f>SUM(AZ6:AZ25)</f>
        <v>42611571.240356088</v>
      </c>
      <c r="BA26" s="30">
        <f>SUM(BA6:BA25)</f>
        <v>72300571.240356088</v>
      </c>
      <c r="BB26" s="30">
        <f>SUM(BB6:BB25)</f>
        <v>42611571.240356088</v>
      </c>
      <c r="BC26" s="30">
        <f>SUM(BC6:BC25)</f>
        <v>42611571.240356088</v>
      </c>
      <c r="BD26" s="30">
        <f>SUM(BD6:BD25)</f>
        <v>42611571.240356088</v>
      </c>
      <c r="BE26" s="30">
        <f>SUM(BE6:BE25)</f>
        <v>59411571.240356088</v>
      </c>
      <c r="BF26" s="30">
        <f>SUM(BF6:BF25)</f>
        <v>42611571.240356088</v>
      </c>
      <c r="BG26" s="30">
        <f>SUM(BG6:BG25)</f>
        <v>42611571.240356088</v>
      </c>
      <c r="BH26" s="30">
        <f>SUM(BH6:BH25)</f>
        <v>42611571.240356088</v>
      </c>
      <c r="BI26" s="30">
        <f>SUM(BI6:BI25)</f>
        <v>42540571.240356088</v>
      </c>
    </row>
    <row r="28" spans="1:61" x14ac:dyDescent="0.35">
      <c r="A28" s="3" t="s">
        <v>513</v>
      </c>
      <c r="B28" s="71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</row>
    <row r="29" spans="1:61" x14ac:dyDescent="0.35">
      <c r="A29" s="59" t="s">
        <v>688</v>
      </c>
      <c r="B29" s="72">
        <v>9950000</v>
      </c>
      <c r="C29" s="64">
        <v>9950000</v>
      </c>
      <c r="D29" s="15">
        <v>9950000</v>
      </c>
      <c r="E29" s="15">
        <v>9950000</v>
      </c>
      <c r="F29" s="15">
        <v>9950000</v>
      </c>
      <c r="G29" s="15">
        <v>9950000</v>
      </c>
      <c r="H29" s="15">
        <v>9950000</v>
      </c>
      <c r="I29" s="15">
        <v>9950000</v>
      </c>
      <c r="J29" s="15">
        <v>9950000</v>
      </c>
      <c r="K29" s="15">
        <v>9950000</v>
      </c>
      <c r="L29" s="15">
        <v>9950000</v>
      </c>
      <c r="M29" s="15">
        <v>9950000</v>
      </c>
      <c r="N29" s="15">
        <v>9950000</v>
      </c>
      <c r="O29" s="15">
        <v>9950000</v>
      </c>
      <c r="P29" s="15">
        <v>9950000</v>
      </c>
      <c r="Q29" s="15">
        <v>9950000</v>
      </c>
      <c r="R29" s="15">
        <v>9950000</v>
      </c>
      <c r="S29" s="15">
        <v>9950000</v>
      </c>
      <c r="T29" s="15">
        <v>9950000</v>
      </c>
      <c r="U29" s="15">
        <v>9950000</v>
      </c>
      <c r="V29" s="15">
        <v>9950000</v>
      </c>
      <c r="W29" s="15">
        <v>9950000</v>
      </c>
      <c r="X29" s="15">
        <v>9950000</v>
      </c>
      <c r="Y29" s="15">
        <v>9950000</v>
      </c>
      <c r="Z29" s="15">
        <v>9950000</v>
      </c>
      <c r="AA29" s="15">
        <v>9950000</v>
      </c>
      <c r="AB29" s="15">
        <v>9950000</v>
      </c>
      <c r="AC29" s="15">
        <v>9950000</v>
      </c>
      <c r="AD29" s="15">
        <v>9950000</v>
      </c>
      <c r="AE29" s="15">
        <v>9950000</v>
      </c>
      <c r="AF29" s="15">
        <v>9950000</v>
      </c>
      <c r="AG29" s="15">
        <v>9950000</v>
      </c>
      <c r="AH29" s="15">
        <v>9950000</v>
      </c>
      <c r="AI29" s="15">
        <v>9950000</v>
      </c>
      <c r="AJ29" s="15">
        <v>9950000</v>
      </c>
      <c r="AK29" s="15">
        <v>9950000</v>
      </c>
      <c r="AL29" s="15">
        <v>9950000</v>
      </c>
      <c r="AM29" s="15">
        <v>9950000</v>
      </c>
      <c r="AN29" s="15">
        <v>9950000</v>
      </c>
      <c r="AO29" s="15">
        <v>9950000</v>
      </c>
      <c r="AP29" s="15">
        <v>9950000</v>
      </c>
      <c r="AQ29" s="15">
        <v>9950000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</row>
    <row r="30" spans="1:61" x14ac:dyDescent="0.35">
      <c r="A30" s="59" t="s">
        <v>689</v>
      </c>
      <c r="B30" s="72">
        <v>0</v>
      </c>
      <c r="C30" s="64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</row>
    <row r="31" spans="1:61" x14ac:dyDescent="0.35">
      <c r="A31" s="59" t="s">
        <v>514</v>
      </c>
      <c r="B31" s="72">
        <v>280000</v>
      </c>
      <c r="C31" s="64">
        <v>280000</v>
      </c>
      <c r="D31" s="15">
        <v>280000</v>
      </c>
      <c r="E31" s="15">
        <v>280000</v>
      </c>
      <c r="F31" s="15">
        <v>280000</v>
      </c>
      <c r="G31" s="15">
        <v>280000</v>
      </c>
      <c r="H31" s="15">
        <v>280000</v>
      </c>
      <c r="I31" s="15">
        <v>280000</v>
      </c>
      <c r="J31" s="15">
        <v>280000</v>
      </c>
      <c r="K31" s="15">
        <v>280000</v>
      </c>
      <c r="L31" s="15">
        <v>280000</v>
      </c>
      <c r="M31" s="15">
        <v>280000</v>
      </c>
      <c r="N31" s="15">
        <v>280000</v>
      </c>
      <c r="O31" s="15">
        <v>280000</v>
      </c>
      <c r="P31" s="15">
        <v>280000</v>
      </c>
      <c r="Q31" s="15">
        <v>280000</v>
      </c>
      <c r="R31" s="15">
        <v>280000</v>
      </c>
      <c r="S31" s="15">
        <v>280000</v>
      </c>
      <c r="T31" s="15">
        <v>280000</v>
      </c>
      <c r="U31" s="15">
        <v>280000</v>
      </c>
      <c r="V31" s="15">
        <v>280000</v>
      </c>
      <c r="W31" s="15">
        <v>280000</v>
      </c>
      <c r="X31" s="15">
        <v>280000</v>
      </c>
      <c r="Y31" s="15">
        <v>280000</v>
      </c>
      <c r="Z31" s="15">
        <v>280000</v>
      </c>
      <c r="AA31" s="15">
        <v>280000</v>
      </c>
      <c r="AB31" s="15">
        <v>280000</v>
      </c>
      <c r="AC31" s="15">
        <v>280000</v>
      </c>
      <c r="AD31" s="15">
        <v>280000</v>
      </c>
      <c r="AE31" s="15">
        <v>280000</v>
      </c>
      <c r="AF31" s="15">
        <v>280000</v>
      </c>
      <c r="AG31" s="15">
        <v>280000</v>
      </c>
      <c r="AH31" s="15">
        <v>280000</v>
      </c>
      <c r="AI31" s="15">
        <v>280000</v>
      </c>
      <c r="AJ31" s="15">
        <v>280000</v>
      </c>
      <c r="AK31" s="15">
        <v>280000</v>
      </c>
      <c r="AL31" s="15">
        <v>280000</v>
      </c>
      <c r="AM31" s="15">
        <v>280000</v>
      </c>
      <c r="AN31" s="15">
        <v>280000</v>
      </c>
      <c r="AO31" s="15">
        <v>280000</v>
      </c>
      <c r="AP31" s="15">
        <v>280000</v>
      </c>
      <c r="AQ31" s="15">
        <v>280000</v>
      </c>
      <c r="AR31" s="15">
        <v>280000</v>
      </c>
      <c r="AS31" s="15">
        <v>280000</v>
      </c>
      <c r="AT31" s="15">
        <v>280000</v>
      </c>
      <c r="AU31" s="15">
        <v>280000</v>
      </c>
      <c r="AV31" s="15">
        <v>280000</v>
      </c>
      <c r="AW31" s="15">
        <v>280000</v>
      </c>
      <c r="AX31" s="15">
        <v>280000</v>
      </c>
      <c r="AY31" s="15">
        <v>280000</v>
      </c>
      <c r="AZ31" s="15">
        <v>280000</v>
      </c>
      <c r="BA31" s="15">
        <v>280000</v>
      </c>
      <c r="BB31" s="15">
        <v>280000</v>
      </c>
      <c r="BC31" s="15">
        <v>280000</v>
      </c>
      <c r="BD31" s="15">
        <v>280000</v>
      </c>
      <c r="BE31" s="15">
        <v>280000</v>
      </c>
      <c r="BF31" s="15">
        <v>280000</v>
      </c>
      <c r="BG31" s="15">
        <v>280000</v>
      </c>
      <c r="BH31" s="15">
        <v>280000</v>
      </c>
      <c r="BI31" s="15">
        <v>280000</v>
      </c>
    </row>
    <row r="32" spans="1:61" x14ac:dyDescent="0.35">
      <c r="A32" s="59" t="s">
        <v>515</v>
      </c>
      <c r="B32" s="72">
        <v>31603</v>
      </c>
      <c r="C32" s="64">
        <v>31603</v>
      </c>
      <c r="D32" s="15">
        <v>31603</v>
      </c>
      <c r="E32" s="15">
        <v>31603</v>
      </c>
      <c r="F32" s="15">
        <v>39000</v>
      </c>
      <c r="G32" s="15">
        <v>39000</v>
      </c>
      <c r="H32" s="15">
        <v>39000</v>
      </c>
      <c r="I32" s="15">
        <v>39000</v>
      </c>
      <c r="J32" s="15">
        <v>39000</v>
      </c>
      <c r="K32" s="15">
        <v>39000</v>
      </c>
      <c r="L32" s="15">
        <v>39000</v>
      </c>
      <c r="M32" s="15">
        <v>39000</v>
      </c>
      <c r="N32" s="15">
        <v>39000</v>
      </c>
      <c r="O32" s="15">
        <v>39000</v>
      </c>
      <c r="P32" s="15">
        <v>39000</v>
      </c>
      <c r="Q32" s="15">
        <v>39000</v>
      </c>
      <c r="R32" s="15">
        <v>39000</v>
      </c>
      <c r="S32" s="15">
        <v>39000</v>
      </c>
      <c r="T32" s="15">
        <v>39000</v>
      </c>
      <c r="U32" s="15">
        <v>39000</v>
      </c>
      <c r="V32" s="15">
        <v>39000</v>
      </c>
      <c r="W32" s="15">
        <v>39000</v>
      </c>
      <c r="X32" s="15">
        <v>39000</v>
      </c>
      <c r="Y32" s="15">
        <v>39000</v>
      </c>
      <c r="Z32" s="15">
        <v>39000</v>
      </c>
      <c r="AA32" s="15">
        <v>39000</v>
      </c>
      <c r="AB32" s="15">
        <v>39000</v>
      </c>
      <c r="AC32" s="15">
        <v>39000</v>
      </c>
      <c r="AD32" s="15">
        <v>39000</v>
      </c>
      <c r="AE32" s="15">
        <v>100000</v>
      </c>
      <c r="AF32" s="15">
        <v>100000</v>
      </c>
      <c r="AG32" s="15">
        <v>100000</v>
      </c>
      <c r="AH32" s="15">
        <v>100000</v>
      </c>
      <c r="AI32" s="15">
        <v>100000</v>
      </c>
      <c r="AJ32" s="15">
        <v>100000</v>
      </c>
      <c r="AK32" s="15">
        <v>100000</v>
      </c>
      <c r="AL32" s="15">
        <v>100000</v>
      </c>
      <c r="AM32" s="15">
        <v>100000</v>
      </c>
      <c r="AN32" s="15">
        <v>100000</v>
      </c>
      <c r="AO32" s="15">
        <v>100000</v>
      </c>
      <c r="AP32" s="15">
        <v>100000</v>
      </c>
      <c r="AQ32" s="15">
        <v>100000</v>
      </c>
      <c r="AR32" s="15">
        <v>100000</v>
      </c>
      <c r="AS32" s="15">
        <v>100000</v>
      </c>
      <c r="AT32" s="15">
        <v>100000</v>
      </c>
      <c r="AU32" s="15">
        <v>100000</v>
      </c>
      <c r="AV32" s="15">
        <v>100000</v>
      </c>
      <c r="AW32" s="15">
        <v>100000</v>
      </c>
      <c r="AX32" s="15">
        <v>100000</v>
      </c>
      <c r="AY32" s="15">
        <v>100000</v>
      </c>
      <c r="AZ32" s="15">
        <v>100000</v>
      </c>
      <c r="BA32" s="15">
        <v>100000</v>
      </c>
      <c r="BB32" s="15">
        <v>100000</v>
      </c>
      <c r="BC32" s="15">
        <v>100000</v>
      </c>
      <c r="BD32" s="15">
        <v>100000</v>
      </c>
      <c r="BE32" s="15">
        <v>100000</v>
      </c>
      <c r="BF32" s="15">
        <v>100000</v>
      </c>
      <c r="BG32" s="15">
        <v>100000</v>
      </c>
      <c r="BH32" s="15">
        <v>100000</v>
      </c>
      <c r="BI32" s="15">
        <v>100000</v>
      </c>
    </row>
    <row r="33" spans="1:61" x14ac:dyDescent="0.35">
      <c r="A33" s="59" t="s">
        <v>516</v>
      </c>
      <c r="B33" s="72">
        <v>685800</v>
      </c>
      <c r="C33" s="64">
        <v>685800</v>
      </c>
      <c r="D33" s="15">
        <v>685800</v>
      </c>
      <c r="E33" s="15">
        <v>685800</v>
      </c>
      <c r="F33" s="15">
        <v>685800</v>
      </c>
      <c r="G33" s="15">
        <v>685800</v>
      </c>
      <c r="H33" s="15">
        <v>685800</v>
      </c>
      <c r="I33" s="15">
        <v>685800</v>
      </c>
      <c r="J33" s="15">
        <v>685800</v>
      </c>
      <c r="K33" s="15">
        <v>685800</v>
      </c>
      <c r="L33" s="15">
        <v>685800</v>
      </c>
      <c r="M33" s="15">
        <v>685800</v>
      </c>
      <c r="N33" s="15">
        <v>685800</v>
      </c>
      <c r="O33" s="15">
        <v>685800</v>
      </c>
      <c r="P33" s="15">
        <v>685800</v>
      </c>
      <c r="Q33" s="15">
        <v>685800</v>
      </c>
      <c r="R33" s="15">
        <v>685800</v>
      </c>
      <c r="S33" s="15">
        <v>685800</v>
      </c>
      <c r="T33" s="15">
        <v>685800</v>
      </c>
      <c r="U33" s="15">
        <v>685800</v>
      </c>
      <c r="V33" s="15">
        <v>685800</v>
      </c>
      <c r="W33" s="15">
        <v>685800</v>
      </c>
      <c r="X33" s="15">
        <v>685800</v>
      </c>
      <c r="Y33" s="15">
        <v>685800</v>
      </c>
      <c r="Z33" s="15">
        <v>685800</v>
      </c>
      <c r="AA33" s="15">
        <v>685800</v>
      </c>
      <c r="AB33" s="15">
        <v>685800</v>
      </c>
      <c r="AC33" s="15">
        <v>685800</v>
      </c>
      <c r="AD33" s="15">
        <v>685800</v>
      </c>
      <c r="AE33" s="15">
        <v>685800</v>
      </c>
      <c r="AF33" s="15">
        <v>685800</v>
      </c>
      <c r="AG33" s="15">
        <v>685800</v>
      </c>
      <c r="AH33" s="15">
        <v>685800</v>
      </c>
      <c r="AI33" s="15">
        <v>685800</v>
      </c>
      <c r="AJ33" s="15">
        <v>685800</v>
      </c>
      <c r="AK33" s="15">
        <v>685800</v>
      </c>
      <c r="AL33" s="15">
        <v>685800</v>
      </c>
      <c r="AM33" s="15">
        <v>685800</v>
      </c>
      <c r="AN33" s="15">
        <v>685800</v>
      </c>
      <c r="AO33" s="15">
        <v>685800</v>
      </c>
      <c r="AP33" s="15">
        <v>685800</v>
      </c>
      <c r="AQ33" s="15">
        <v>685800</v>
      </c>
      <c r="AR33" s="15">
        <v>685800</v>
      </c>
      <c r="AS33" s="15">
        <v>685800</v>
      </c>
      <c r="AT33" s="15">
        <v>685800</v>
      </c>
      <c r="AU33" s="15">
        <v>685800</v>
      </c>
      <c r="AV33" s="15">
        <v>685800</v>
      </c>
      <c r="AW33" s="15">
        <v>685800</v>
      </c>
      <c r="AX33" s="15">
        <v>685800</v>
      </c>
      <c r="AY33" s="15">
        <v>685800</v>
      </c>
      <c r="AZ33" s="15">
        <v>685800</v>
      </c>
      <c r="BA33" s="15">
        <v>685800</v>
      </c>
      <c r="BB33" s="15">
        <v>685800</v>
      </c>
      <c r="BC33" s="15">
        <v>685800</v>
      </c>
      <c r="BD33" s="15">
        <v>685800</v>
      </c>
      <c r="BE33" s="15">
        <v>685800</v>
      </c>
      <c r="BF33" s="15">
        <v>685800</v>
      </c>
      <c r="BG33" s="15">
        <v>685800</v>
      </c>
      <c r="BH33" s="15">
        <v>685800</v>
      </c>
      <c r="BI33" s="15">
        <v>685800</v>
      </c>
    </row>
    <row r="34" spans="1:61" x14ac:dyDescent="0.35">
      <c r="A34" s="59" t="s">
        <v>517</v>
      </c>
      <c r="B34" s="72">
        <v>0</v>
      </c>
      <c r="C34" s="64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5000000</v>
      </c>
      <c r="U34" s="15">
        <v>5000000</v>
      </c>
      <c r="V34" s="15">
        <v>5000000</v>
      </c>
      <c r="W34" s="15">
        <v>5000000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</row>
    <row r="35" spans="1:61" x14ac:dyDescent="0.35">
      <c r="A35" s="59" t="s">
        <v>518</v>
      </c>
      <c r="B35" s="72">
        <v>60000</v>
      </c>
      <c r="C35" s="64">
        <v>60000</v>
      </c>
      <c r="D35" s="15">
        <v>60000</v>
      </c>
      <c r="E35" s="15">
        <v>60000</v>
      </c>
      <c r="F35" s="15">
        <v>60000</v>
      </c>
      <c r="G35" s="15">
        <v>60000</v>
      </c>
      <c r="H35" s="15">
        <v>60000</v>
      </c>
      <c r="I35" s="15">
        <v>60000</v>
      </c>
      <c r="J35" s="15">
        <v>60000</v>
      </c>
      <c r="K35" s="15">
        <v>60000</v>
      </c>
      <c r="L35" s="15">
        <v>60000</v>
      </c>
      <c r="M35" s="15">
        <v>60000</v>
      </c>
      <c r="N35" s="15">
        <v>60000</v>
      </c>
      <c r="O35" s="15">
        <v>60000</v>
      </c>
      <c r="P35" s="15">
        <v>60000</v>
      </c>
      <c r="Q35" s="15">
        <v>60000</v>
      </c>
      <c r="R35" s="15">
        <v>60000</v>
      </c>
      <c r="S35" s="15">
        <v>60000</v>
      </c>
      <c r="T35" s="15">
        <v>60000</v>
      </c>
      <c r="U35" s="15">
        <v>60000</v>
      </c>
      <c r="V35" s="15">
        <v>60000</v>
      </c>
      <c r="W35" s="15">
        <v>60000</v>
      </c>
      <c r="X35" s="15">
        <v>60000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150000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</row>
    <row r="36" spans="1:61" x14ac:dyDescent="0.35">
      <c r="A36" s="59" t="s">
        <v>678</v>
      </c>
      <c r="B36" s="72">
        <v>3500000</v>
      </c>
      <c r="C36" s="64">
        <v>3500000</v>
      </c>
      <c r="D36" s="15">
        <v>3500000</v>
      </c>
      <c r="E36" s="15">
        <v>3500000</v>
      </c>
      <c r="F36" s="15">
        <v>3500000</v>
      </c>
      <c r="G36" s="15">
        <v>3500000</v>
      </c>
      <c r="H36" s="15">
        <v>3500000</v>
      </c>
      <c r="I36" s="15">
        <v>3500000</v>
      </c>
      <c r="J36" s="15">
        <v>3500000</v>
      </c>
      <c r="K36" s="15">
        <v>3500000</v>
      </c>
      <c r="L36" s="15">
        <v>3500000</v>
      </c>
      <c r="M36" s="15">
        <v>3500000</v>
      </c>
      <c r="N36" s="15">
        <v>3500000</v>
      </c>
      <c r="O36" s="15">
        <v>3500000</v>
      </c>
      <c r="P36" s="15">
        <v>3500000</v>
      </c>
      <c r="Q36" s="15">
        <v>3500000</v>
      </c>
      <c r="R36" s="15">
        <v>3500000</v>
      </c>
      <c r="S36" s="15">
        <v>3500000</v>
      </c>
      <c r="T36" s="15">
        <v>3500000</v>
      </c>
      <c r="U36" s="15">
        <v>3500000</v>
      </c>
      <c r="V36" s="15">
        <v>3500000</v>
      </c>
      <c r="W36" s="15">
        <v>3500000</v>
      </c>
      <c r="X36" s="15">
        <v>3500000</v>
      </c>
      <c r="Y36" s="15">
        <v>3500000</v>
      </c>
      <c r="Z36" s="15">
        <v>3500000</v>
      </c>
      <c r="AA36" s="15">
        <v>3500000</v>
      </c>
      <c r="AB36" s="15">
        <v>3500000</v>
      </c>
      <c r="AC36" s="15">
        <v>3500000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</row>
    <row r="37" spans="1:61" x14ac:dyDescent="0.35">
      <c r="A37" s="59" t="s">
        <v>684</v>
      </c>
      <c r="B37" s="72">
        <v>0</v>
      </c>
      <c r="C37" s="64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/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/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/>
    </row>
    <row r="38" spans="1:61" x14ac:dyDescent="0.35">
      <c r="A38" s="59" t="s">
        <v>685</v>
      </c>
      <c r="B38" s="72">
        <v>350000</v>
      </c>
      <c r="C38" s="64">
        <v>350000</v>
      </c>
      <c r="D38" s="15">
        <v>350000</v>
      </c>
      <c r="E38" s="15">
        <v>350000</v>
      </c>
      <c r="F38" s="15">
        <v>350000</v>
      </c>
      <c r="G38" s="15">
        <v>350000</v>
      </c>
      <c r="H38" s="15">
        <v>350000</v>
      </c>
      <c r="I38" s="15">
        <v>350000</v>
      </c>
      <c r="J38" s="15">
        <v>350000</v>
      </c>
      <c r="K38" s="15">
        <v>350000</v>
      </c>
      <c r="L38" s="15">
        <v>350000</v>
      </c>
      <c r="M38" s="15">
        <v>350000</v>
      </c>
      <c r="N38" s="15">
        <v>350000</v>
      </c>
      <c r="O38" s="15">
        <v>350000</v>
      </c>
      <c r="P38" s="15">
        <v>350000</v>
      </c>
      <c r="Q38" s="15">
        <v>350000</v>
      </c>
      <c r="R38" s="15">
        <v>350000</v>
      </c>
      <c r="S38" s="15">
        <v>350000</v>
      </c>
      <c r="T38" s="15">
        <v>350000</v>
      </c>
      <c r="U38" s="15">
        <v>350000</v>
      </c>
      <c r="V38" s="15">
        <v>350000</v>
      </c>
      <c r="W38" s="15">
        <v>350000</v>
      </c>
      <c r="X38" s="15">
        <v>350000</v>
      </c>
      <c r="Y38" s="15">
        <v>350000</v>
      </c>
      <c r="Z38" s="15">
        <v>350000</v>
      </c>
      <c r="AA38" s="15">
        <v>350000</v>
      </c>
      <c r="AB38" s="15">
        <v>350000</v>
      </c>
      <c r="AC38" s="15">
        <v>350000</v>
      </c>
      <c r="AD38" s="15">
        <v>350000</v>
      </c>
      <c r="AE38" s="15">
        <v>350000</v>
      </c>
      <c r="AF38" s="15">
        <v>350000</v>
      </c>
      <c r="AG38" s="15">
        <v>350000</v>
      </c>
      <c r="AH38" s="15">
        <v>350000</v>
      </c>
      <c r="AI38" s="15">
        <v>350000</v>
      </c>
      <c r="AJ38" s="15">
        <v>350000</v>
      </c>
      <c r="AK38" s="15">
        <v>350000</v>
      </c>
      <c r="AL38" s="15">
        <v>350000</v>
      </c>
      <c r="AM38" s="15">
        <v>350000</v>
      </c>
      <c r="AN38" s="15">
        <v>350000</v>
      </c>
      <c r="AO38" s="15">
        <v>350000</v>
      </c>
      <c r="AP38" s="15">
        <v>350000</v>
      </c>
      <c r="AQ38" s="15">
        <v>350000</v>
      </c>
      <c r="AR38" s="15">
        <v>350000</v>
      </c>
      <c r="AS38" s="15">
        <v>350000</v>
      </c>
      <c r="AT38" s="15">
        <v>350000</v>
      </c>
      <c r="AU38" s="15">
        <v>350000</v>
      </c>
      <c r="AV38" s="15">
        <v>350000</v>
      </c>
      <c r="AW38" s="15">
        <v>350000</v>
      </c>
      <c r="AX38" s="15">
        <v>350000</v>
      </c>
      <c r="AY38" s="15">
        <v>350000</v>
      </c>
      <c r="AZ38" s="15">
        <v>350000</v>
      </c>
      <c r="BA38" s="15">
        <v>350000</v>
      </c>
      <c r="BB38" s="15">
        <v>350000</v>
      </c>
      <c r="BC38" s="15">
        <v>350000</v>
      </c>
      <c r="BD38" s="15">
        <v>350000</v>
      </c>
      <c r="BE38" s="15">
        <v>350000</v>
      </c>
      <c r="BF38" s="15">
        <v>350000</v>
      </c>
      <c r="BG38" s="15">
        <v>350000</v>
      </c>
      <c r="BH38" s="15">
        <v>350000</v>
      </c>
      <c r="BI38" s="15">
        <v>350000</v>
      </c>
    </row>
    <row r="39" spans="1:61" x14ac:dyDescent="0.35">
      <c r="A39" s="59" t="s">
        <v>519</v>
      </c>
      <c r="B39" s="72">
        <v>345902</v>
      </c>
      <c r="C39" s="64">
        <v>345902</v>
      </c>
      <c r="D39" s="15">
        <v>345902</v>
      </c>
      <c r="E39" s="15">
        <v>345902</v>
      </c>
      <c r="F39" s="15">
        <v>345902</v>
      </c>
      <c r="G39" s="15">
        <v>345902</v>
      </c>
      <c r="H39" s="15">
        <v>345902</v>
      </c>
      <c r="I39" s="15">
        <v>345902</v>
      </c>
      <c r="J39" s="15">
        <v>345902</v>
      </c>
      <c r="K39" s="15">
        <v>345902</v>
      </c>
      <c r="L39" s="15">
        <v>345902</v>
      </c>
      <c r="M39" s="15">
        <v>345902</v>
      </c>
      <c r="N39" s="15">
        <v>345902</v>
      </c>
      <c r="O39" s="15">
        <v>345902</v>
      </c>
      <c r="P39" s="15">
        <v>345902</v>
      </c>
      <c r="Q39" s="15">
        <v>345902</v>
      </c>
      <c r="R39" s="15">
        <v>345902</v>
      </c>
      <c r="S39" s="15">
        <v>345902</v>
      </c>
      <c r="T39" s="15">
        <v>345902</v>
      </c>
      <c r="U39" s="15">
        <v>345902</v>
      </c>
      <c r="V39" s="15">
        <v>345902</v>
      </c>
      <c r="W39" s="15">
        <v>345902</v>
      </c>
      <c r="X39" s="15">
        <v>345902</v>
      </c>
      <c r="Y39" s="15">
        <v>345902</v>
      </c>
      <c r="Z39" s="15">
        <v>345902</v>
      </c>
      <c r="AA39" s="15">
        <v>345902</v>
      </c>
      <c r="AB39" s="15">
        <v>345902</v>
      </c>
      <c r="AC39" s="15">
        <v>345902</v>
      </c>
      <c r="AD39" s="15">
        <v>345902</v>
      </c>
      <c r="AE39" s="15">
        <v>345902</v>
      </c>
      <c r="AF39" s="15">
        <v>345902</v>
      </c>
      <c r="AG39" s="15">
        <v>345902</v>
      </c>
      <c r="AH39" s="15">
        <v>345902</v>
      </c>
      <c r="AI39" s="15">
        <v>345902</v>
      </c>
      <c r="AJ39" s="15">
        <v>345902</v>
      </c>
      <c r="AK39" s="15">
        <v>345902</v>
      </c>
      <c r="AL39" s="15">
        <v>345902</v>
      </c>
      <c r="AM39" s="15">
        <v>345902</v>
      </c>
      <c r="AN39" s="15">
        <v>345902</v>
      </c>
      <c r="AO39" s="15">
        <v>345902</v>
      </c>
      <c r="AP39" s="15">
        <v>345902</v>
      </c>
      <c r="AQ39" s="15">
        <v>345902</v>
      </c>
      <c r="AR39" s="15">
        <v>345902</v>
      </c>
      <c r="AS39" s="15">
        <v>345902</v>
      </c>
      <c r="AT39" s="15">
        <v>345902</v>
      </c>
      <c r="AU39" s="15">
        <v>345902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</row>
    <row r="40" spans="1:61" x14ac:dyDescent="0.35">
      <c r="A40" s="59" t="s">
        <v>520</v>
      </c>
      <c r="B40" s="72">
        <v>1250000</v>
      </c>
      <c r="C40" s="64">
        <v>1250000</v>
      </c>
      <c r="D40" s="15">
        <v>1250000</v>
      </c>
      <c r="E40" s="15">
        <v>1250000</v>
      </c>
      <c r="F40" s="15">
        <v>1250000</v>
      </c>
      <c r="G40" s="15">
        <v>1250000</v>
      </c>
      <c r="H40" s="15">
        <v>1250000</v>
      </c>
      <c r="I40" s="15">
        <v>1250000</v>
      </c>
      <c r="J40" s="15">
        <v>1250000</v>
      </c>
      <c r="K40" s="15">
        <v>1250000</v>
      </c>
      <c r="L40" s="15">
        <v>1250000</v>
      </c>
      <c r="M40" s="15">
        <v>1250000</v>
      </c>
      <c r="N40" s="15">
        <v>1250000</v>
      </c>
      <c r="O40" s="15">
        <v>1250000</v>
      </c>
      <c r="P40" s="15">
        <v>1250000</v>
      </c>
      <c r="Q40" s="15">
        <v>1250000</v>
      </c>
      <c r="R40" s="15">
        <v>1250000</v>
      </c>
      <c r="S40" s="15">
        <v>1250000</v>
      </c>
      <c r="T40" s="15">
        <v>1250000</v>
      </c>
      <c r="U40" s="15">
        <v>1250000</v>
      </c>
      <c r="V40" s="15">
        <v>1250000</v>
      </c>
      <c r="W40" s="15">
        <v>1250000</v>
      </c>
      <c r="X40" s="15">
        <v>1250000</v>
      </c>
      <c r="Y40" s="15">
        <v>1250000</v>
      </c>
      <c r="Z40" s="15">
        <v>1250000</v>
      </c>
      <c r="AA40" s="15">
        <v>1250000</v>
      </c>
      <c r="AB40" s="15">
        <v>1250000</v>
      </c>
      <c r="AC40" s="15">
        <v>1250000</v>
      </c>
      <c r="AD40" s="15">
        <v>1250000</v>
      </c>
      <c r="AE40" s="15">
        <v>1250000</v>
      </c>
      <c r="AF40" s="15">
        <v>1250000</v>
      </c>
      <c r="AG40" s="15">
        <v>1250000</v>
      </c>
      <c r="AH40" s="15">
        <v>1250000</v>
      </c>
      <c r="AI40" s="15">
        <v>1250000</v>
      </c>
      <c r="AJ40" s="15">
        <v>1250000</v>
      </c>
      <c r="AK40" s="15">
        <v>1250000</v>
      </c>
      <c r="AL40" s="15">
        <v>1250000</v>
      </c>
      <c r="AM40" s="15">
        <v>1250000</v>
      </c>
      <c r="AN40" s="15">
        <v>1250000</v>
      </c>
      <c r="AO40" s="15">
        <v>1250000</v>
      </c>
      <c r="AP40" s="15">
        <v>1250000</v>
      </c>
      <c r="AQ40" s="15">
        <v>1250000</v>
      </c>
      <c r="AR40" s="15">
        <v>1250000</v>
      </c>
      <c r="AS40" s="15">
        <v>1250000</v>
      </c>
      <c r="AT40" s="15">
        <v>1250000</v>
      </c>
      <c r="AU40" s="15">
        <v>1250000</v>
      </c>
      <c r="AV40" s="15">
        <v>1250000</v>
      </c>
      <c r="AW40" s="15">
        <v>1250000</v>
      </c>
      <c r="AX40" s="15">
        <v>1250000</v>
      </c>
      <c r="AY40" s="15">
        <v>1250000</v>
      </c>
      <c r="AZ40" s="15">
        <v>1250000</v>
      </c>
      <c r="BA40" s="15">
        <v>1250000</v>
      </c>
      <c r="BB40" s="15">
        <v>1250000</v>
      </c>
      <c r="BC40" s="15">
        <v>1250000</v>
      </c>
      <c r="BD40" s="15">
        <v>1250000</v>
      </c>
      <c r="BE40" s="15">
        <v>1250000</v>
      </c>
      <c r="BF40" s="15">
        <v>1250000</v>
      </c>
      <c r="BG40" s="15">
        <v>1250000</v>
      </c>
      <c r="BH40" s="15">
        <v>1250000</v>
      </c>
      <c r="BI40" s="15">
        <v>1250000</v>
      </c>
    </row>
    <row r="41" spans="1:61" x14ac:dyDescent="0.35">
      <c r="A41" s="59" t="s">
        <v>521</v>
      </c>
      <c r="B41" s="72">
        <v>0</v>
      </c>
      <c r="C41" s="64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70000</v>
      </c>
      <c r="U41" s="15">
        <v>70000</v>
      </c>
      <c r="V41" s="15">
        <v>70000</v>
      </c>
      <c r="W41" s="15">
        <v>70000</v>
      </c>
      <c r="X41" s="15">
        <v>70000</v>
      </c>
      <c r="Y41" s="15">
        <v>70000</v>
      </c>
      <c r="Z41" s="15">
        <v>70000</v>
      </c>
      <c r="AA41" s="15">
        <v>70000</v>
      </c>
      <c r="AB41" s="15">
        <v>70000</v>
      </c>
      <c r="AC41" s="15">
        <v>70000</v>
      </c>
      <c r="AD41" s="15">
        <v>70000</v>
      </c>
      <c r="AE41" s="15">
        <v>70000</v>
      </c>
      <c r="AF41" s="15">
        <v>70000</v>
      </c>
      <c r="AG41" s="15">
        <v>70000</v>
      </c>
      <c r="AH41" s="15">
        <v>70000</v>
      </c>
      <c r="AI41" s="15">
        <v>70000</v>
      </c>
      <c r="AJ41" s="15">
        <v>70000</v>
      </c>
      <c r="AK41" s="15">
        <v>70000</v>
      </c>
      <c r="AL41" s="15">
        <v>70000</v>
      </c>
      <c r="AM41" s="15">
        <v>70000</v>
      </c>
      <c r="AN41" s="15">
        <v>70000</v>
      </c>
      <c r="AO41" s="15">
        <v>70000</v>
      </c>
      <c r="AP41" s="15">
        <v>70000</v>
      </c>
      <c r="AQ41" s="15">
        <v>70000</v>
      </c>
      <c r="AR41" s="15">
        <v>70000</v>
      </c>
      <c r="AS41" s="15">
        <v>70000</v>
      </c>
      <c r="AT41" s="15">
        <v>70000</v>
      </c>
      <c r="AU41" s="15">
        <v>70000</v>
      </c>
      <c r="AV41" s="15">
        <v>70000</v>
      </c>
      <c r="AW41" s="15">
        <v>70000</v>
      </c>
      <c r="AX41" s="15">
        <v>70000</v>
      </c>
      <c r="AY41" s="15">
        <v>70000</v>
      </c>
      <c r="AZ41" s="15">
        <v>70000</v>
      </c>
      <c r="BA41" s="15">
        <v>70000</v>
      </c>
      <c r="BB41" s="15">
        <v>70000</v>
      </c>
      <c r="BC41" s="15">
        <v>70000</v>
      </c>
      <c r="BD41" s="15">
        <v>70000</v>
      </c>
      <c r="BE41" s="15">
        <v>70000</v>
      </c>
      <c r="BF41" s="15">
        <v>70000</v>
      </c>
      <c r="BG41" s="15">
        <v>70000</v>
      </c>
      <c r="BH41" s="15">
        <v>70000</v>
      </c>
      <c r="BI41" s="15">
        <v>70000</v>
      </c>
    </row>
    <row r="42" spans="1:61" x14ac:dyDescent="0.35">
      <c r="A42" s="59" t="s">
        <v>522</v>
      </c>
      <c r="B42" s="72">
        <v>0</v>
      </c>
      <c r="C42" s="64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</row>
    <row r="43" spans="1:61" x14ac:dyDescent="0.35">
      <c r="A43" s="59" t="s">
        <v>523</v>
      </c>
      <c r="B43" s="72">
        <v>3000000</v>
      </c>
      <c r="C43" s="64">
        <v>3000000</v>
      </c>
      <c r="D43" s="15">
        <v>3000000</v>
      </c>
      <c r="E43" s="15">
        <v>3000000</v>
      </c>
      <c r="F43" s="15">
        <v>3000000</v>
      </c>
      <c r="G43" s="15">
        <v>3000000</v>
      </c>
      <c r="H43" s="15">
        <v>3000000</v>
      </c>
      <c r="I43" s="15">
        <v>3000000</v>
      </c>
      <c r="J43" s="15">
        <v>3000000</v>
      </c>
      <c r="K43" s="15">
        <v>3000000</v>
      </c>
      <c r="L43" s="15">
        <v>3000000</v>
      </c>
      <c r="M43" s="15">
        <v>3000000</v>
      </c>
      <c r="N43" s="15">
        <v>3000000</v>
      </c>
      <c r="O43" s="15">
        <v>3000000</v>
      </c>
      <c r="P43" s="15">
        <v>3000000</v>
      </c>
      <c r="Q43" s="15">
        <v>3000000</v>
      </c>
      <c r="R43" s="15">
        <v>3000000</v>
      </c>
      <c r="S43" s="15">
        <v>3000000</v>
      </c>
      <c r="T43" s="15">
        <v>3000000</v>
      </c>
      <c r="U43" s="15">
        <v>3000000</v>
      </c>
      <c r="V43" s="15">
        <v>3000000</v>
      </c>
      <c r="W43" s="15">
        <v>3000000</v>
      </c>
      <c r="X43" s="15">
        <v>3000000</v>
      </c>
      <c r="Y43" s="15">
        <v>3000000</v>
      </c>
      <c r="Z43" s="15">
        <v>3000000</v>
      </c>
      <c r="AA43" s="15">
        <v>3000000</v>
      </c>
      <c r="AB43" s="15">
        <v>3000000</v>
      </c>
      <c r="AC43" s="15">
        <v>3000000</v>
      </c>
      <c r="AD43" s="15">
        <v>3000000</v>
      </c>
      <c r="AE43" s="15">
        <v>3000000</v>
      </c>
      <c r="AF43" s="15">
        <v>3000000</v>
      </c>
      <c r="AG43" s="15">
        <v>3000000</v>
      </c>
      <c r="AH43" s="15">
        <v>3000000</v>
      </c>
      <c r="AI43" s="15">
        <v>2800000</v>
      </c>
      <c r="AJ43" s="15">
        <v>2800000</v>
      </c>
      <c r="AK43" s="15">
        <v>2800000</v>
      </c>
      <c r="AL43" s="15">
        <v>2800000</v>
      </c>
      <c r="AM43" s="15">
        <v>2800000</v>
      </c>
      <c r="AN43" s="15">
        <v>2800000</v>
      </c>
      <c r="AO43" s="15">
        <v>2800000</v>
      </c>
      <c r="AP43" s="15">
        <v>2800000</v>
      </c>
      <c r="AQ43" s="15">
        <v>2800000</v>
      </c>
      <c r="AR43" s="15">
        <v>2800000</v>
      </c>
      <c r="AS43" s="15">
        <v>2800000</v>
      </c>
      <c r="AT43" s="15">
        <v>2800000</v>
      </c>
      <c r="AU43" s="15">
        <v>2800000</v>
      </c>
      <c r="AV43" s="15">
        <v>2800000</v>
      </c>
      <c r="AW43" s="15">
        <v>2800000</v>
      </c>
      <c r="AX43" s="15">
        <v>2800000</v>
      </c>
      <c r="AY43" s="15">
        <v>2800000</v>
      </c>
      <c r="AZ43" s="15">
        <v>2800000</v>
      </c>
      <c r="BA43" s="15">
        <v>2800000</v>
      </c>
      <c r="BB43" s="15">
        <v>2800000</v>
      </c>
      <c r="BC43" s="15">
        <v>2800000</v>
      </c>
      <c r="BD43" s="15">
        <v>2800000</v>
      </c>
      <c r="BE43" s="15">
        <v>2600000</v>
      </c>
      <c r="BF43" s="15">
        <v>2600000</v>
      </c>
      <c r="BG43" s="15">
        <v>2600000</v>
      </c>
      <c r="BH43" s="15">
        <v>2600000</v>
      </c>
      <c r="BI43" s="15">
        <v>2600000</v>
      </c>
    </row>
    <row r="44" spans="1:61" x14ac:dyDescent="0.35">
      <c r="A44" s="59" t="s">
        <v>524</v>
      </c>
      <c r="B44" s="72">
        <v>0</v>
      </c>
      <c r="C44" s="64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1170000000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</row>
    <row r="45" spans="1:61" x14ac:dyDescent="0.35">
      <c r="A45" s="59" t="s">
        <v>694</v>
      </c>
      <c r="B45" s="72">
        <v>740000</v>
      </c>
      <c r="C45" s="72">
        <v>740000</v>
      </c>
      <c r="D45" s="72">
        <v>740000</v>
      </c>
      <c r="E45" s="72">
        <v>740000</v>
      </c>
      <c r="F45" s="72">
        <v>740000</v>
      </c>
      <c r="G45" s="72">
        <v>740000</v>
      </c>
      <c r="H45" s="72">
        <v>740000</v>
      </c>
      <c r="I45" s="72">
        <v>740000</v>
      </c>
      <c r="J45" s="72">
        <v>740000</v>
      </c>
      <c r="K45" s="72">
        <v>740000</v>
      </c>
      <c r="L45" s="72">
        <v>740000</v>
      </c>
      <c r="M45" s="72">
        <v>740000</v>
      </c>
      <c r="N45" s="72">
        <v>740000</v>
      </c>
      <c r="O45" s="72">
        <v>740000</v>
      </c>
      <c r="P45" s="72">
        <v>740000</v>
      </c>
      <c r="Q45" s="72">
        <v>740000</v>
      </c>
      <c r="R45" s="72">
        <v>740000</v>
      </c>
      <c r="S45" s="72">
        <v>740000</v>
      </c>
      <c r="T45" s="72">
        <v>740000</v>
      </c>
      <c r="U45" s="72">
        <v>740000</v>
      </c>
      <c r="V45" s="72">
        <v>740000</v>
      </c>
      <c r="W45" s="72">
        <v>740000</v>
      </c>
      <c r="X45" s="72">
        <v>740000</v>
      </c>
      <c r="Y45" s="72">
        <v>740000</v>
      </c>
      <c r="Z45" s="72">
        <v>740000</v>
      </c>
      <c r="AA45" s="72">
        <v>740000</v>
      </c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</row>
    <row r="46" spans="1:61" x14ac:dyDescent="0.35">
      <c r="A46" s="59" t="s">
        <v>693</v>
      </c>
      <c r="B46" s="72">
        <v>550000</v>
      </c>
      <c r="C46" s="72">
        <v>550000</v>
      </c>
      <c r="D46" s="72">
        <v>550000</v>
      </c>
      <c r="E46" s="72">
        <v>550000</v>
      </c>
      <c r="F46" s="72">
        <v>550000</v>
      </c>
      <c r="G46" s="72">
        <v>550000</v>
      </c>
      <c r="H46" s="72">
        <v>550000</v>
      </c>
      <c r="I46" s="72">
        <v>550000</v>
      </c>
      <c r="J46" s="72">
        <v>550000</v>
      </c>
      <c r="K46" s="72">
        <v>550000</v>
      </c>
      <c r="L46" s="72">
        <v>550000</v>
      </c>
      <c r="M46" s="72">
        <v>550000</v>
      </c>
      <c r="N46" s="72">
        <v>550000</v>
      </c>
      <c r="O46" s="72">
        <v>550000</v>
      </c>
      <c r="P46" s="72">
        <v>550000</v>
      </c>
      <c r="Q46" s="72">
        <v>550000</v>
      </c>
      <c r="R46" s="72">
        <v>550000</v>
      </c>
      <c r="S46" s="72">
        <v>550000</v>
      </c>
      <c r="T46" s="72">
        <v>550000</v>
      </c>
      <c r="U46" s="72">
        <v>550000</v>
      </c>
      <c r="V46" s="72">
        <v>550000</v>
      </c>
      <c r="W46" s="15">
        <v>700000</v>
      </c>
      <c r="X46" s="15">
        <v>700000</v>
      </c>
      <c r="Y46" s="15">
        <v>700000</v>
      </c>
      <c r="Z46" s="15">
        <v>700000</v>
      </c>
      <c r="AA46" s="15">
        <v>700000</v>
      </c>
      <c r="AB46" s="15">
        <v>700000</v>
      </c>
      <c r="AC46" s="15">
        <v>700000</v>
      </c>
      <c r="AD46" s="15">
        <v>700000</v>
      </c>
      <c r="AE46" s="15">
        <v>700000</v>
      </c>
      <c r="AF46" s="15">
        <v>700000</v>
      </c>
      <c r="AG46" s="15">
        <v>700000</v>
      </c>
      <c r="AH46" s="15">
        <v>700000</v>
      </c>
      <c r="AI46" s="15">
        <v>700000</v>
      </c>
      <c r="AJ46" s="15">
        <v>700000</v>
      </c>
      <c r="AK46" s="15">
        <v>700000</v>
      </c>
      <c r="AL46" s="15">
        <v>700000</v>
      </c>
      <c r="AM46" s="15">
        <v>700000</v>
      </c>
      <c r="AN46" s="15">
        <v>700000</v>
      </c>
      <c r="AO46" s="15">
        <v>700000</v>
      </c>
      <c r="AP46" s="15">
        <v>700000</v>
      </c>
      <c r="AQ46" s="15">
        <v>700000</v>
      </c>
      <c r="AR46" s="15">
        <v>700000</v>
      </c>
      <c r="AS46" s="15">
        <v>700000</v>
      </c>
      <c r="AT46" s="15">
        <v>700000</v>
      </c>
      <c r="AU46" s="15">
        <v>700000</v>
      </c>
      <c r="AV46" s="15">
        <v>700000</v>
      </c>
      <c r="AW46" s="15">
        <v>700000</v>
      </c>
      <c r="AX46" s="15">
        <v>700000</v>
      </c>
      <c r="AY46" s="15">
        <v>700000</v>
      </c>
      <c r="AZ46" s="15">
        <v>700000</v>
      </c>
      <c r="BA46" s="15">
        <v>700000</v>
      </c>
      <c r="BB46" s="15">
        <v>700000</v>
      </c>
      <c r="BC46" s="15">
        <v>700000</v>
      </c>
      <c r="BD46" s="15">
        <v>700000</v>
      </c>
      <c r="BE46" s="15">
        <v>700000</v>
      </c>
      <c r="BF46" s="15">
        <v>700000</v>
      </c>
      <c r="BG46" s="15">
        <v>700000</v>
      </c>
      <c r="BH46" s="15">
        <v>700000</v>
      </c>
      <c r="BI46" s="15">
        <v>700000</v>
      </c>
    </row>
    <row r="47" spans="1:61" x14ac:dyDescent="0.35">
      <c r="A47" s="59" t="s">
        <v>525</v>
      </c>
      <c r="B47" s="72">
        <v>0</v>
      </c>
      <c r="C47" s="64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</row>
    <row r="48" spans="1:61" x14ac:dyDescent="0.35">
      <c r="A48" s="59" t="s">
        <v>526</v>
      </c>
      <c r="B48" s="72">
        <v>0</v>
      </c>
      <c r="C48" s="64">
        <v>3717000</v>
      </c>
      <c r="D48" s="15">
        <v>0</v>
      </c>
      <c r="E48" s="15">
        <v>3717000</v>
      </c>
      <c r="F48" s="15">
        <v>0</v>
      </c>
      <c r="G48" s="15">
        <v>0</v>
      </c>
      <c r="H48" s="15">
        <v>0</v>
      </c>
      <c r="I48" s="15">
        <v>0</v>
      </c>
      <c r="J48" s="15">
        <v>3717000</v>
      </c>
      <c r="K48" s="15">
        <v>0</v>
      </c>
      <c r="L48" s="15">
        <v>3717000</v>
      </c>
      <c r="M48" s="15">
        <v>0</v>
      </c>
      <c r="N48" s="15">
        <v>0</v>
      </c>
      <c r="O48" s="15">
        <v>3717000</v>
      </c>
      <c r="P48" s="15">
        <v>0</v>
      </c>
      <c r="Q48" s="15">
        <v>3717000</v>
      </c>
      <c r="R48" s="15">
        <v>0</v>
      </c>
      <c r="S48" s="15">
        <v>0</v>
      </c>
      <c r="T48" s="15">
        <v>0</v>
      </c>
      <c r="U48" s="15">
        <v>0</v>
      </c>
      <c r="V48" s="15">
        <v>3717000</v>
      </c>
      <c r="W48" s="15">
        <v>0</v>
      </c>
      <c r="X48" s="15">
        <v>3717000</v>
      </c>
      <c r="Y48" s="15">
        <v>0</v>
      </c>
      <c r="Z48" s="15">
        <v>0</v>
      </c>
      <c r="AA48" s="15">
        <v>3800000</v>
      </c>
      <c r="AB48" s="15">
        <v>0</v>
      </c>
      <c r="AC48" s="15">
        <v>3800000</v>
      </c>
      <c r="AD48" s="15">
        <v>0</v>
      </c>
      <c r="AE48" s="15">
        <v>0</v>
      </c>
      <c r="AF48" s="15">
        <v>0</v>
      </c>
      <c r="AG48" s="15">
        <v>0</v>
      </c>
      <c r="AH48" s="15">
        <v>3717000</v>
      </c>
      <c r="AI48" s="15">
        <v>0</v>
      </c>
      <c r="AJ48" s="15">
        <v>3717000</v>
      </c>
      <c r="AK48" s="15">
        <v>0</v>
      </c>
      <c r="AL48" s="15">
        <v>0</v>
      </c>
      <c r="AM48" s="15">
        <v>3717000</v>
      </c>
      <c r="AN48" s="15">
        <v>0</v>
      </c>
      <c r="AO48" s="15">
        <v>3717000</v>
      </c>
      <c r="AP48" s="15">
        <v>0</v>
      </c>
      <c r="AQ48" s="15">
        <v>3717000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</row>
    <row r="49" spans="1:61" x14ac:dyDescent="0.35">
      <c r="A49" s="59" t="s">
        <v>527</v>
      </c>
      <c r="B49" s="72">
        <v>0</v>
      </c>
      <c r="C49" s="64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1858500</v>
      </c>
      <c r="AU49" s="15">
        <v>0</v>
      </c>
      <c r="AV49" s="15">
        <v>1858500</v>
      </c>
      <c r="AW49" s="15">
        <v>0</v>
      </c>
      <c r="AX49" s="15">
        <v>0</v>
      </c>
      <c r="AY49" s="15">
        <v>1858500</v>
      </c>
      <c r="AZ49" s="15">
        <v>0</v>
      </c>
      <c r="BA49" s="15">
        <v>1858500</v>
      </c>
      <c r="BB49" s="15">
        <v>0</v>
      </c>
      <c r="BC49" s="15">
        <v>0</v>
      </c>
      <c r="BD49" s="15">
        <v>0</v>
      </c>
      <c r="BE49" s="15">
        <v>0</v>
      </c>
      <c r="BF49" s="15">
        <v>1858500</v>
      </c>
      <c r="BG49" s="15">
        <v>0</v>
      </c>
      <c r="BH49" s="15">
        <v>1858500</v>
      </c>
      <c r="BI49" s="15">
        <v>0</v>
      </c>
    </row>
    <row r="50" spans="1:61" x14ac:dyDescent="0.35">
      <c r="A50" s="59" t="s">
        <v>528</v>
      </c>
      <c r="B50" s="72">
        <v>0</v>
      </c>
      <c r="C50" s="64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</row>
    <row r="51" spans="1:61" x14ac:dyDescent="0.35">
      <c r="A51" s="59" t="s">
        <v>529</v>
      </c>
      <c r="B51" s="72">
        <v>0</v>
      </c>
      <c r="C51" s="64">
        <v>333708</v>
      </c>
      <c r="D51" s="15">
        <v>0</v>
      </c>
      <c r="E51" s="15">
        <v>333708</v>
      </c>
      <c r="F51" s="15">
        <v>0</v>
      </c>
      <c r="G51" s="15">
        <v>0</v>
      </c>
      <c r="H51" s="15">
        <v>0</v>
      </c>
      <c r="I51" s="15">
        <v>0</v>
      </c>
      <c r="J51" s="15">
        <v>333708</v>
      </c>
      <c r="K51" s="15">
        <v>0</v>
      </c>
      <c r="L51" s="15">
        <v>333708</v>
      </c>
      <c r="M51" s="15">
        <v>0</v>
      </c>
      <c r="N51" s="15">
        <v>0</v>
      </c>
      <c r="O51" s="15">
        <v>333708</v>
      </c>
      <c r="P51" s="15">
        <v>0</v>
      </c>
      <c r="Q51" s="15">
        <v>333708</v>
      </c>
      <c r="R51" s="15">
        <v>0</v>
      </c>
      <c r="S51" s="15">
        <v>0</v>
      </c>
      <c r="T51" s="15">
        <v>0</v>
      </c>
      <c r="U51" s="15">
        <v>0</v>
      </c>
      <c r="V51" s="15">
        <v>333708</v>
      </c>
      <c r="W51" s="15">
        <v>0</v>
      </c>
      <c r="X51" s="15">
        <v>333708</v>
      </c>
      <c r="Y51" s="15">
        <v>0</v>
      </c>
      <c r="Z51" s="15">
        <v>0</v>
      </c>
      <c r="AA51" s="15">
        <v>333708</v>
      </c>
      <c r="AB51" s="15">
        <v>0</v>
      </c>
      <c r="AC51" s="15">
        <v>333708</v>
      </c>
      <c r="AD51" s="15">
        <v>0</v>
      </c>
      <c r="AE51" s="15">
        <v>0</v>
      </c>
      <c r="AF51" s="15">
        <v>0</v>
      </c>
      <c r="AG51" s="15">
        <v>0</v>
      </c>
      <c r="AH51" s="15">
        <v>333708</v>
      </c>
      <c r="AI51" s="15">
        <v>0</v>
      </c>
      <c r="AJ51" s="15">
        <v>333708</v>
      </c>
      <c r="AK51" s="15">
        <v>0</v>
      </c>
      <c r="AL51" s="15">
        <v>0</v>
      </c>
      <c r="AM51" s="15">
        <v>333708</v>
      </c>
      <c r="AN51" s="15">
        <v>0</v>
      </c>
      <c r="AO51" s="15">
        <v>333708</v>
      </c>
      <c r="AP51" s="15">
        <v>0</v>
      </c>
      <c r="AQ51" s="15">
        <v>333708</v>
      </c>
      <c r="AR51" s="15">
        <v>0</v>
      </c>
      <c r="AS51" s="15">
        <v>0</v>
      </c>
      <c r="AT51" s="15">
        <v>333708</v>
      </c>
      <c r="AU51" s="15">
        <v>0</v>
      </c>
      <c r="AV51" s="15">
        <v>333708</v>
      </c>
      <c r="AW51" s="15">
        <v>0</v>
      </c>
      <c r="AX51" s="15">
        <v>0</v>
      </c>
      <c r="AY51" s="15">
        <v>333708</v>
      </c>
      <c r="AZ51" s="15">
        <v>0</v>
      </c>
      <c r="BA51" s="15">
        <v>333708</v>
      </c>
      <c r="BB51" s="15">
        <v>0</v>
      </c>
      <c r="BC51" s="15">
        <v>0</v>
      </c>
      <c r="BD51" s="15">
        <v>0</v>
      </c>
      <c r="BE51" s="15">
        <v>0</v>
      </c>
      <c r="BF51" s="15">
        <v>333708</v>
      </c>
      <c r="BG51" s="15">
        <v>0</v>
      </c>
      <c r="BH51" s="15">
        <v>333708</v>
      </c>
      <c r="BI51" s="15">
        <v>0</v>
      </c>
    </row>
    <row r="52" spans="1:61" x14ac:dyDescent="0.35">
      <c r="A52" s="59" t="s">
        <v>530</v>
      </c>
      <c r="B52" s="72">
        <v>2240854</v>
      </c>
      <c r="C52" s="64">
        <v>2240854</v>
      </c>
      <c r="D52" s="15">
        <v>2240854</v>
      </c>
      <c r="E52" s="15">
        <v>2240854</v>
      </c>
      <c r="F52" s="15">
        <v>2240854</v>
      </c>
      <c r="G52" s="15">
        <v>2240854</v>
      </c>
      <c r="H52" s="15">
        <v>2240854</v>
      </c>
      <c r="I52" s="15">
        <v>2240854</v>
      </c>
      <c r="J52" s="15">
        <v>2240854</v>
      </c>
      <c r="K52" s="15">
        <v>2240854</v>
      </c>
      <c r="L52" s="15">
        <v>2240854</v>
      </c>
      <c r="M52" s="15">
        <v>2240854</v>
      </c>
      <c r="N52" s="15">
        <v>2240854</v>
      </c>
      <c r="O52" s="15">
        <v>2240854</v>
      </c>
      <c r="P52" s="15">
        <v>2240854</v>
      </c>
      <c r="Q52" s="15">
        <v>2240854</v>
      </c>
      <c r="R52" s="15">
        <v>2240854</v>
      </c>
      <c r="S52" s="15">
        <v>2240854</v>
      </c>
      <c r="T52" s="15">
        <v>2240854</v>
      </c>
      <c r="U52" s="15">
        <v>2240854</v>
      </c>
      <c r="V52" s="15">
        <v>2240854</v>
      </c>
      <c r="W52" s="15">
        <v>2240854</v>
      </c>
      <c r="X52" s="15">
        <v>2240854</v>
      </c>
      <c r="Y52" s="15">
        <v>2240854</v>
      </c>
      <c r="Z52" s="15">
        <v>2240854</v>
      </c>
      <c r="AA52" s="15">
        <v>2240854</v>
      </c>
      <c r="AB52" s="15">
        <v>2240854</v>
      </c>
      <c r="AC52" s="15">
        <v>2240854</v>
      </c>
      <c r="AD52" s="15">
        <v>2240854</v>
      </c>
      <c r="AE52" s="15">
        <v>2240854</v>
      </c>
      <c r="AF52" s="15">
        <v>2240854</v>
      </c>
      <c r="AG52" s="15">
        <v>2240854</v>
      </c>
      <c r="AH52" s="15">
        <v>2240854</v>
      </c>
      <c r="AI52" s="15">
        <v>2240854</v>
      </c>
      <c r="AJ52" s="15">
        <v>2240854</v>
      </c>
      <c r="AK52" s="15">
        <v>2240854</v>
      </c>
      <c r="AL52" s="15">
        <v>2240854</v>
      </c>
      <c r="AM52" s="15">
        <v>2240854</v>
      </c>
      <c r="AN52" s="15">
        <v>2240854</v>
      </c>
      <c r="AO52" s="15">
        <v>2240854</v>
      </c>
      <c r="AP52" s="15">
        <v>2240854</v>
      </c>
      <c r="AQ52" s="15">
        <v>2240854</v>
      </c>
      <c r="AR52" s="15">
        <v>2240854</v>
      </c>
      <c r="AS52" s="15">
        <v>2240854</v>
      </c>
      <c r="AT52" s="15">
        <v>2240854</v>
      </c>
      <c r="AU52" s="15">
        <v>2240854</v>
      </c>
      <c r="AV52" s="15">
        <v>2240854</v>
      </c>
      <c r="AW52" s="15">
        <v>2240854</v>
      </c>
      <c r="AX52" s="15">
        <v>2240854</v>
      </c>
      <c r="AY52" s="15">
        <v>2240854</v>
      </c>
      <c r="AZ52" s="15">
        <v>2240854</v>
      </c>
      <c r="BA52" s="15">
        <v>2240854</v>
      </c>
      <c r="BB52" s="15">
        <v>2240854</v>
      </c>
      <c r="BC52" s="15">
        <v>2240854</v>
      </c>
      <c r="BD52" s="15">
        <v>2240854</v>
      </c>
      <c r="BE52" s="15">
        <v>2240854</v>
      </c>
      <c r="BF52" s="15">
        <v>2240854</v>
      </c>
      <c r="BG52" s="15">
        <v>2240854</v>
      </c>
      <c r="BH52" s="15">
        <v>2240854</v>
      </c>
      <c r="BI52" s="15">
        <v>2240854</v>
      </c>
    </row>
    <row r="53" spans="1:61" x14ac:dyDescent="0.35">
      <c r="A53" s="59" t="s">
        <v>531</v>
      </c>
      <c r="B53" s="72">
        <v>700000</v>
      </c>
      <c r="C53" s="64">
        <v>700000</v>
      </c>
      <c r="D53" s="15">
        <v>700000</v>
      </c>
      <c r="E53" s="15">
        <v>700000</v>
      </c>
      <c r="F53" s="15">
        <v>700000</v>
      </c>
      <c r="G53" s="15">
        <v>700000</v>
      </c>
      <c r="H53" s="15">
        <v>700000</v>
      </c>
      <c r="I53" s="15">
        <v>700000</v>
      </c>
      <c r="J53" s="15">
        <v>700000</v>
      </c>
      <c r="K53" s="15">
        <v>700000</v>
      </c>
      <c r="L53" s="15">
        <v>700000</v>
      </c>
      <c r="M53" s="15">
        <v>700000</v>
      </c>
      <c r="N53" s="15">
        <v>700000</v>
      </c>
      <c r="O53" s="15">
        <v>700000</v>
      </c>
      <c r="P53" s="15">
        <v>700000</v>
      </c>
      <c r="Q53" s="15">
        <v>700000</v>
      </c>
      <c r="R53" s="15">
        <v>700000</v>
      </c>
      <c r="S53" s="15">
        <v>700000</v>
      </c>
      <c r="T53" s="15">
        <v>700000</v>
      </c>
      <c r="U53" s="15">
        <v>700000</v>
      </c>
      <c r="V53" s="15">
        <v>700000</v>
      </c>
      <c r="W53" s="15">
        <v>700000</v>
      </c>
      <c r="X53" s="15">
        <v>700000</v>
      </c>
      <c r="Y53" s="15">
        <v>700000</v>
      </c>
      <c r="Z53" s="15">
        <v>700000</v>
      </c>
      <c r="AA53" s="15">
        <v>700000</v>
      </c>
      <c r="AB53" s="15">
        <v>700000</v>
      </c>
      <c r="AC53" s="15">
        <v>700000</v>
      </c>
      <c r="AD53" s="15">
        <v>700000</v>
      </c>
      <c r="AE53" s="15">
        <v>700000</v>
      </c>
      <c r="AF53" s="15">
        <v>700000</v>
      </c>
      <c r="AG53" s="15">
        <v>700000</v>
      </c>
      <c r="AH53" s="15">
        <v>700000</v>
      </c>
      <c r="AI53" s="15">
        <v>700000</v>
      </c>
      <c r="AJ53" s="15">
        <v>700000</v>
      </c>
      <c r="AK53" s="15">
        <v>700000</v>
      </c>
      <c r="AL53" s="15">
        <v>700000</v>
      </c>
      <c r="AM53" s="15">
        <v>700000</v>
      </c>
      <c r="AN53" s="15">
        <v>700000</v>
      </c>
      <c r="AO53" s="15">
        <v>700000</v>
      </c>
      <c r="AP53" s="15">
        <v>700000</v>
      </c>
      <c r="AQ53" s="15">
        <v>700000</v>
      </c>
      <c r="AR53" s="15">
        <v>700000</v>
      </c>
      <c r="AS53" s="15">
        <v>700000</v>
      </c>
      <c r="AT53" s="15">
        <v>700000</v>
      </c>
      <c r="AU53" s="15">
        <v>700000</v>
      </c>
      <c r="AV53" s="15">
        <v>700000</v>
      </c>
      <c r="AW53" s="15">
        <v>700000</v>
      </c>
      <c r="AX53" s="15">
        <v>700000</v>
      </c>
      <c r="AY53" s="15">
        <v>700000</v>
      </c>
      <c r="AZ53" s="15">
        <v>700000</v>
      </c>
      <c r="BA53" s="15">
        <v>700000</v>
      </c>
      <c r="BB53" s="15">
        <v>700000</v>
      </c>
      <c r="BC53" s="15">
        <v>700000</v>
      </c>
      <c r="BD53" s="15">
        <v>700000</v>
      </c>
      <c r="BE53" s="15">
        <v>700000</v>
      </c>
      <c r="BF53" s="15">
        <v>700000</v>
      </c>
      <c r="BG53" s="15">
        <v>700000</v>
      </c>
      <c r="BH53" s="15">
        <v>700000</v>
      </c>
      <c r="BI53" s="15">
        <v>700000</v>
      </c>
    </row>
    <row r="54" spans="1:61" x14ac:dyDescent="0.35">
      <c r="A54" s="59" t="s">
        <v>532</v>
      </c>
      <c r="B54" s="72">
        <v>44000</v>
      </c>
      <c r="C54" s="64">
        <v>44000</v>
      </c>
      <c r="D54" s="15">
        <v>44000</v>
      </c>
      <c r="E54" s="15">
        <v>44000</v>
      </c>
      <c r="F54" s="15">
        <v>40000</v>
      </c>
      <c r="G54" s="15">
        <v>40000</v>
      </c>
      <c r="H54" s="15">
        <v>40000</v>
      </c>
      <c r="I54" s="15">
        <v>40000</v>
      </c>
      <c r="J54" s="15">
        <v>40000</v>
      </c>
      <c r="K54" s="15">
        <v>40000</v>
      </c>
      <c r="L54" s="15">
        <v>40000</v>
      </c>
      <c r="M54" s="15">
        <v>40000</v>
      </c>
      <c r="N54" s="15">
        <v>40000</v>
      </c>
      <c r="O54" s="15">
        <v>40000</v>
      </c>
      <c r="P54" s="15">
        <v>40000</v>
      </c>
      <c r="Q54" s="15">
        <v>40000</v>
      </c>
      <c r="R54" s="15">
        <v>40000</v>
      </c>
      <c r="S54" s="15">
        <v>40000</v>
      </c>
      <c r="T54" s="15">
        <v>40000</v>
      </c>
      <c r="U54" s="15">
        <v>40000</v>
      </c>
      <c r="V54" s="15">
        <v>40000</v>
      </c>
      <c r="W54" s="15">
        <v>40000</v>
      </c>
      <c r="X54" s="15">
        <v>40000</v>
      </c>
      <c r="Y54" s="15">
        <v>40000</v>
      </c>
      <c r="Z54" s="15">
        <v>40000</v>
      </c>
      <c r="AA54" s="15">
        <v>40000</v>
      </c>
      <c r="AB54" s="15">
        <v>40000</v>
      </c>
      <c r="AC54" s="15">
        <v>40000</v>
      </c>
      <c r="AD54" s="15">
        <v>40000</v>
      </c>
      <c r="AE54" s="15">
        <v>100000</v>
      </c>
      <c r="AF54" s="15">
        <v>100000</v>
      </c>
      <c r="AG54" s="15">
        <v>100000</v>
      </c>
      <c r="AH54" s="15">
        <v>100000</v>
      </c>
      <c r="AI54" s="15">
        <v>100000</v>
      </c>
      <c r="AJ54" s="15">
        <v>100000</v>
      </c>
      <c r="AK54" s="15">
        <v>100000</v>
      </c>
      <c r="AL54" s="15">
        <v>100000</v>
      </c>
      <c r="AM54" s="15">
        <v>100000</v>
      </c>
      <c r="AN54" s="15">
        <v>100000</v>
      </c>
      <c r="AO54" s="15">
        <v>100000</v>
      </c>
      <c r="AP54" s="15">
        <v>100000</v>
      </c>
      <c r="AQ54" s="15">
        <v>100000</v>
      </c>
      <c r="AR54" s="15">
        <v>100000</v>
      </c>
      <c r="AS54" s="15">
        <v>100000</v>
      </c>
      <c r="AT54" s="15">
        <v>100000</v>
      </c>
      <c r="AU54" s="15">
        <v>100000</v>
      </c>
      <c r="AV54" s="15">
        <v>100000</v>
      </c>
      <c r="AW54" s="15">
        <v>100000</v>
      </c>
      <c r="AX54" s="15">
        <v>100000</v>
      </c>
      <c r="AY54" s="15">
        <v>100000</v>
      </c>
      <c r="AZ54" s="15">
        <v>100000</v>
      </c>
      <c r="BA54" s="15">
        <v>100000</v>
      </c>
      <c r="BB54" s="15">
        <v>100000</v>
      </c>
      <c r="BC54" s="15">
        <v>100000</v>
      </c>
      <c r="BD54" s="15">
        <v>100000</v>
      </c>
      <c r="BE54" s="15">
        <v>100000</v>
      </c>
      <c r="BF54" s="15">
        <v>100000</v>
      </c>
      <c r="BG54" s="15">
        <v>100000</v>
      </c>
      <c r="BH54" s="15">
        <v>100000</v>
      </c>
      <c r="BI54" s="15">
        <v>100000</v>
      </c>
    </row>
    <row r="55" spans="1:61" x14ac:dyDescent="0.35">
      <c r="A55" s="59" t="s">
        <v>533</v>
      </c>
      <c r="B55" s="72">
        <v>0</v>
      </c>
      <c r="C55" s="64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/>
      <c r="U55" s="15"/>
      <c r="V55" s="15"/>
      <c r="W55" s="15"/>
      <c r="X55" s="15"/>
      <c r="Y55" s="15"/>
      <c r="Z55" s="15">
        <v>1200000</v>
      </c>
      <c r="AA55" s="15">
        <v>1200000</v>
      </c>
      <c r="AB55" s="15">
        <v>1200000</v>
      </c>
      <c r="AC55" s="15">
        <v>1200000</v>
      </c>
      <c r="AD55" s="15">
        <v>1200000</v>
      </c>
      <c r="AE55" s="15">
        <v>1200000</v>
      </c>
      <c r="AF55" s="15">
        <v>1200000</v>
      </c>
      <c r="AG55" s="15">
        <v>1200000</v>
      </c>
      <c r="AH55" s="15">
        <v>1200000</v>
      </c>
      <c r="AI55" s="15">
        <v>1200000</v>
      </c>
      <c r="AJ55" s="15">
        <v>1200000</v>
      </c>
      <c r="AK55" s="15">
        <v>1200000</v>
      </c>
      <c r="AL55" s="15">
        <v>1200000</v>
      </c>
      <c r="AM55" s="15">
        <v>1200000</v>
      </c>
      <c r="AN55" s="15">
        <v>1200000</v>
      </c>
      <c r="AO55" s="15">
        <v>1200000</v>
      </c>
      <c r="AP55" s="15">
        <v>1200000</v>
      </c>
      <c r="AQ55" s="15">
        <v>1200000</v>
      </c>
      <c r="AR55" s="15">
        <v>1200000</v>
      </c>
      <c r="AS55" s="15">
        <v>0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</row>
    <row r="56" spans="1:61" x14ac:dyDescent="0.35">
      <c r="A56" s="59" t="s">
        <v>534</v>
      </c>
      <c r="B56" s="72">
        <v>880000</v>
      </c>
      <c r="C56" s="64">
        <v>880000</v>
      </c>
      <c r="D56" s="15">
        <v>880000</v>
      </c>
      <c r="E56" s="15">
        <v>880000</v>
      </c>
      <c r="F56" s="15">
        <v>880000</v>
      </c>
      <c r="G56" s="15">
        <v>880000</v>
      </c>
      <c r="H56" s="15">
        <v>880000</v>
      </c>
      <c r="I56" s="15">
        <v>880000</v>
      </c>
      <c r="J56" s="15">
        <v>880000</v>
      </c>
      <c r="K56" s="15">
        <v>880000</v>
      </c>
      <c r="L56" s="15">
        <v>880000</v>
      </c>
      <c r="M56" s="15">
        <v>880000</v>
      </c>
      <c r="N56" s="15">
        <v>880000</v>
      </c>
      <c r="O56" s="15">
        <v>880000</v>
      </c>
      <c r="P56" s="15">
        <v>880000</v>
      </c>
      <c r="Q56" s="15">
        <v>880000</v>
      </c>
      <c r="R56" s="15">
        <v>880000</v>
      </c>
      <c r="S56" s="15">
        <v>880000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880000</v>
      </c>
      <c r="AT56" s="15">
        <v>880000</v>
      </c>
      <c r="AU56" s="15">
        <v>880000</v>
      </c>
      <c r="AV56" s="15">
        <v>880000</v>
      </c>
      <c r="AW56" s="15">
        <v>880000</v>
      </c>
      <c r="AX56" s="15">
        <v>880000</v>
      </c>
      <c r="AY56" s="15">
        <v>880000</v>
      </c>
      <c r="AZ56" s="15">
        <v>880000</v>
      </c>
      <c r="BA56" s="15">
        <v>880000</v>
      </c>
      <c r="BB56" s="15">
        <v>880000</v>
      </c>
      <c r="BC56" s="15">
        <v>880000</v>
      </c>
      <c r="BD56" s="15">
        <v>880000</v>
      </c>
      <c r="BE56" s="15">
        <v>880000</v>
      </c>
      <c r="BF56" s="15">
        <v>880000</v>
      </c>
      <c r="BG56" s="15">
        <v>880000</v>
      </c>
      <c r="BH56" s="15">
        <v>880000</v>
      </c>
      <c r="BI56" s="15">
        <v>880000</v>
      </c>
    </row>
    <row r="57" spans="1:61" x14ac:dyDescent="0.35">
      <c r="A57" s="59" t="s">
        <v>535</v>
      </c>
      <c r="B57" s="72">
        <v>100000</v>
      </c>
      <c r="C57" s="64">
        <v>100000</v>
      </c>
      <c r="D57" s="15">
        <v>100000</v>
      </c>
      <c r="E57" s="15">
        <v>100000</v>
      </c>
      <c r="F57" s="15">
        <v>100000</v>
      </c>
      <c r="G57" s="15">
        <v>100000</v>
      </c>
      <c r="H57" s="15">
        <v>100000</v>
      </c>
      <c r="I57" s="15">
        <v>100000</v>
      </c>
      <c r="J57" s="15">
        <v>100000</v>
      </c>
      <c r="K57" s="15">
        <v>100000</v>
      </c>
      <c r="L57" s="15">
        <v>100000</v>
      </c>
      <c r="M57" s="15">
        <v>100000</v>
      </c>
      <c r="N57" s="15">
        <v>100000</v>
      </c>
      <c r="O57" s="15">
        <v>100000</v>
      </c>
      <c r="P57" s="15">
        <v>100000</v>
      </c>
      <c r="Q57" s="15">
        <v>100000</v>
      </c>
      <c r="R57" s="15">
        <v>100000</v>
      </c>
      <c r="S57" s="15">
        <v>100000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100000</v>
      </c>
      <c r="AT57" s="15">
        <v>100000</v>
      </c>
      <c r="AU57" s="15">
        <v>100000</v>
      </c>
      <c r="AV57" s="15">
        <v>100000</v>
      </c>
      <c r="AW57" s="15">
        <v>100000</v>
      </c>
      <c r="AX57" s="15">
        <v>100000</v>
      </c>
      <c r="AY57" s="15">
        <v>100000</v>
      </c>
      <c r="AZ57" s="15">
        <v>100000</v>
      </c>
      <c r="BA57" s="15">
        <v>100000</v>
      </c>
      <c r="BB57" s="15">
        <v>100000</v>
      </c>
      <c r="BC57" s="15">
        <v>100000</v>
      </c>
      <c r="BD57" s="15">
        <v>100000</v>
      </c>
      <c r="BE57" s="15">
        <v>100000</v>
      </c>
      <c r="BF57" s="15">
        <v>100000</v>
      </c>
      <c r="BG57" s="15">
        <v>100000</v>
      </c>
      <c r="BH57" s="15">
        <v>100000</v>
      </c>
      <c r="BI57" s="15">
        <v>100000</v>
      </c>
    </row>
    <row r="58" spans="1:61" x14ac:dyDescent="0.35">
      <c r="A58" s="59" t="s">
        <v>536</v>
      </c>
      <c r="B58" s="72">
        <v>650000</v>
      </c>
      <c r="C58" s="64">
        <v>650000</v>
      </c>
      <c r="D58" s="15">
        <v>650000</v>
      </c>
      <c r="E58" s="15">
        <v>650000</v>
      </c>
      <c r="F58" s="15">
        <v>650000</v>
      </c>
      <c r="G58" s="15">
        <v>650000</v>
      </c>
      <c r="H58" s="15">
        <v>650000</v>
      </c>
      <c r="I58" s="15">
        <v>650000</v>
      </c>
      <c r="J58" s="15">
        <v>650000</v>
      </c>
      <c r="K58" s="15">
        <v>650000</v>
      </c>
      <c r="L58" s="15">
        <v>650000</v>
      </c>
      <c r="M58" s="15">
        <v>650000</v>
      </c>
      <c r="N58" s="15">
        <v>650000</v>
      </c>
      <c r="O58" s="15">
        <v>650000</v>
      </c>
      <c r="P58" s="15">
        <v>650000</v>
      </c>
      <c r="Q58" s="15">
        <v>650000</v>
      </c>
      <c r="R58" s="15">
        <v>650000</v>
      </c>
      <c r="S58" s="15">
        <v>650000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650000</v>
      </c>
      <c r="AT58" s="15">
        <v>650000</v>
      </c>
      <c r="AU58" s="15">
        <v>650000</v>
      </c>
      <c r="AV58" s="15">
        <v>650000</v>
      </c>
      <c r="AW58" s="15">
        <v>650000</v>
      </c>
      <c r="AX58" s="15">
        <v>650000</v>
      </c>
      <c r="AY58" s="15">
        <v>650000</v>
      </c>
      <c r="AZ58" s="15">
        <v>650000</v>
      </c>
      <c r="BA58" s="15">
        <v>650000</v>
      </c>
      <c r="BB58" s="15">
        <v>650000</v>
      </c>
      <c r="BC58" s="15">
        <v>650000</v>
      </c>
      <c r="BD58" s="15">
        <v>650000</v>
      </c>
      <c r="BE58" s="15">
        <v>650000</v>
      </c>
      <c r="BF58" s="15">
        <v>650000</v>
      </c>
      <c r="BG58" s="15">
        <v>650000</v>
      </c>
      <c r="BH58" s="15">
        <v>650000</v>
      </c>
      <c r="BI58" s="15">
        <v>650000</v>
      </c>
    </row>
    <row r="59" spans="1:61" x14ac:dyDescent="0.35">
      <c r="A59" s="59" t="s">
        <v>537</v>
      </c>
      <c r="B59" s="72">
        <v>120000</v>
      </c>
      <c r="C59" s="64">
        <v>120000</v>
      </c>
      <c r="D59" s="15">
        <v>120000</v>
      </c>
      <c r="E59" s="15">
        <v>120000</v>
      </c>
      <c r="F59" s="15">
        <v>120000</v>
      </c>
      <c r="G59" s="15">
        <v>120000</v>
      </c>
      <c r="H59" s="15">
        <v>120000</v>
      </c>
      <c r="I59" s="15">
        <v>120000</v>
      </c>
      <c r="J59" s="15">
        <v>120000</v>
      </c>
      <c r="K59" s="15">
        <v>120000</v>
      </c>
      <c r="L59" s="15">
        <v>120000</v>
      </c>
      <c r="M59" s="15">
        <v>120000</v>
      </c>
      <c r="N59" s="15">
        <v>120000</v>
      </c>
      <c r="O59" s="15">
        <v>120000</v>
      </c>
      <c r="P59" s="15">
        <v>120000</v>
      </c>
      <c r="Q59" s="15">
        <v>120000</v>
      </c>
      <c r="R59" s="15">
        <v>120000</v>
      </c>
      <c r="S59" s="15">
        <v>120000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120000</v>
      </c>
      <c r="AT59" s="15">
        <v>0</v>
      </c>
      <c r="AU59" s="15">
        <v>0</v>
      </c>
      <c r="AV59" s="15">
        <v>0</v>
      </c>
      <c r="AW59" s="15">
        <v>0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</row>
    <row r="60" spans="1:61" x14ac:dyDescent="0.35">
      <c r="A60" s="59" t="s">
        <v>538</v>
      </c>
      <c r="B60" s="72"/>
      <c r="C60" s="64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</row>
    <row r="61" spans="1:61" x14ac:dyDescent="0.35">
      <c r="A61" s="59" t="s">
        <v>686</v>
      </c>
      <c r="B61" s="72">
        <v>800000</v>
      </c>
      <c r="C61" s="72">
        <v>800000</v>
      </c>
      <c r="D61" s="72">
        <v>800000</v>
      </c>
      <c r="E61" s="72">
        <v>800000</v>
      </c>
      <c r="F61" s="72">
        <v>800000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15">
        <v>0</v>
      </c>
      <c r="AW61" s="15">
        <v>0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</row>
    <row r="62" spans="1:61" x14ac:dyDescent="0.35">
      <c r="A62" s="59" t="s">
        <v>540</v>
      </c>
      <c r="B62" s="72">
        <v>700000</v>
      </c>
      <c r="C62" s="64">
        <v>700000</v>
      </c>
      <c r="D62" s="15">
        <v>700000</v>
      </c>
      <c r="E62" s="15">
        <v>700000</v>
      </c>
      <c r="F62" s="15">
        <v>700000</v>
      </c>
      <c r="G62" s="15">
        <v>700000</v>
      </c>
      <c r="H62" s="15">
        <v>700000</v>
      </c>
      <c r="I62" s="15">
        <v>700000</v>
      </c>
      <c r="J62" s="15">
        <v>700000</v>
      </c>
      <c r="K62" s="15">
        <v>700000</v>
      </c>
      <c r="L62" s="15">
        <v>700000</v>
      </c>
      <c r="M62" s="15">
        <v>700000</v>
      </c>
      <c r="N62" s="15">
        <v>700000</v>
      </c>
      <c r="O62" s="15">
        <v>700000</v>
      </c>
      <c r="P62" s="15">
        <v>700000</v>
      </c>
      <c r="Q62" s="15">
        <v>700000</v>
      </c>
      <c r="R62" s="15">
        <v>700000</v>
      </c>
      <c r="S62" s="15">
        <v>700000</v>
      </c>
      <c r="T62" s="15">
        <v>700000</v>
      </c>
      <c r="U62" s="15">
        <v>700000</v>
      </c>
      <c r="V62" s="15">
        <v>700000</v>
      </c>
      <c r="W62" s="15">
        <v>700000</v>
      </c>
      <c r="X62" s="15">
        <v>700000</v>
      </c>
      <c r="Y62" s="15">
        <v>700000</v>
      </c>
      <c r="Z62" s="15">
        <v>700000</v>
      </c>
      <c r="AA62" s="15">
        <v>700000</v>
      </c>
      <c r="AB62" s="15">
        <v>700000</v>
      </c>
      <c r="AC62" s="15">
        <v>700000</v>
      </c>
      <c r="AD62" s="15">
        <v>700000</v>
      </c>
      <c r="AE62" s="15">
        <v>700000</v>
      </c>
      <c r="AF62" s="15">
        <v>700000</v>
      </c>
      <c r="AG62" s="15">
        <v>700000</v>
      </c>
      <c r="AH62" s="15">
        <v>700000</v>
      </c>
      <c r="AI62" s="15">
        <v>700000</v>
      </c>
      <c r="AJ62" s="15">
        <v>700000</v>
      </c>
      <c r="AK62" s="15">
        <v>700000</v>
      </c>
      <c r="AL62" s="15">
        <v>700000</v>
      </c>
      <c r="AM62" s="15">
        <v>700000</v>
      </c>
      <c r="AN62" s="15">
        <v>700000</v>
      </c>
      <c r="AO62" s="15">
        <v>700000</v>
      </c>
      <c r="AP62" s="15">
        <v>700000</v>
      </c>
      <c r="AQ62" s="15">
        <v>700000</v>
      </c>
      <c r="AR62" s="15">
        <v>700000</v>
      </c>
      <c r="AS62" s="15">
        <v>700000</v>
      </c>
      <c r="AT62" s="15">
        <v>700000</v>
      </c>
      <c r="AU62" s="15">
        <v>700000</v>
      </c>
      <c r="AV62" s="15">
        <v>700000</v>
      </c>
      <c r="AW62" s="15">
        <v>700000</v>
      </c>
      <c r="AX62" s="15">
        <v>700000</v>
      </c>
      <c r="AY62" s="15">
        <v>700000</v>
      </c>
      <c r="AZ62" s="15">
        <v>700000</v>
      </c>
      <c r="BA62" s="15">
        <v>700000</v>
      </c>
      <c r="BB62" s="15">
        <v>700000</v>
      </c>
      <c r="BC62" s="15">
        <v>700000</v>
      </c>
      <c r="BD62" s="15">
        <v>700000</v>
      </c>
      <c r="BE62" s="15">
        <v>700000</v>
      </c>
      <c r="BF62" s="15">
        <v>700000</v>
      </c>
      <c r="BG62" s="15">
        <v>700000</v>
      </c>
      <c r="BH62" s="15">
        <v>700000</v>
      </c>
      <c r="BI62" s="15">
        <v>700000</v>
      </c>
    </row>
    <row r="63" spans="1:61" x14ac:dyDescent="0.35">
      <c r="A63" s="59" t="s">
        <v>541</v>
      </c>
      <c r="B63" s="72">
        <v>450000</v>
      </c>
      <c r="C63" s="64">
        <v>450000</v>
      </c>
      <c r="D63" s="15">
        <v>450000</v>
      </c>
      <c r="E63" s="15">
        <v>450000</v>
      </c>
      <c r="F63" s="15">
        <v>450000</v>
      </c>
      <c r="G63" s="15">
        <v>490000</v>
      </c>
      <c r="H63" s="15">
        <v>490000</v>
      </c>
      <c r="I63" s="15">
        <v>490000</v>
      </c>
      <c r="J63" s="15">
        <v>490000</v>
      </c>
      <c r="K63" s="15">
        <v>490000</v>
      </c>
      <c r="L63" s="15">
        <v>490000</v>
      </c>
      <c r="M63" s="15">
        <v>490000</v>
      </c>
      <c r="N63" s="15">
        <v>490000</v>
      </c>
      <c r="O63" s="15">
        <v>490000</v>
      </c>
      <c r="P63" s="15">
        <v>490000</v>
      </c>
      <c r="Q63" s="15">
        <v>490000</v>
      </c>
      <c r="R63" s="15">
        <v>490000</v>
      </c>
      <c r="S63" s="15">
        <v>490000</v>
      </c>
      <c r="T63" s="15">
        <v>490000</v>
      </c>
      <c r="U63" s="15">
        <v>490000</v>
      </c>
      <c r="V63" s="15">
        <v>490000</v>
      </c>
      <c r="W63" s="15">
        <v>490000</v>
      </c>
      <c r="X63" s="15">
        <v>490000</v>
      </c>
      <c r="Y63" s="15">
        <v>490000</v>
      </c>
      <c r="Z63" s="15">
        <v>490000</v>
      </c>
      <c r="AA63" s="15">
        <v>490000</v>
      </c>
      <c r="AB63" s="15">
        <v>490000</v>
      </c>
      <c r="AC63" s="15">
        <v>490000</v>
      </c>
      <c r="AD63" s="15">
        <v>490000</v>
      </c>
      <c r="AE63" s="15">
        <v>490000</v>
      </c>
      <c r="AF63" s="15">
        <v>490000</v>
      </c>
      <c r="AG63" s="15">
        <v>490000</v>
      </c>
      <c r="AH63" s="15">
        <v>490000</v>
      </c>
      <c r="AI63" s="15">
        <v>490000</v>
      </c>
      <c r="AJ63" s="15">
        <v>490000</v>
      </c>
      <c r="AK63" s="15">
        <v>490000</v>
      </c>
      <c r="AL63" s="15">
        <v>490000</v>
      </c>
      <c r="AM63" s="15">
        <v>490000</v>
      </c>
      <c r="AN63" s="15">
        <v>490000</v>
      </c>
      <c r="AO63" s="15">
        <v>490000</v>
      </c>
      <c r="AP63" s="15">
        <v>490000</v>
      </c>
      <c r="AQ63" s="15">
        <v>490000</v>
      </c>
      <c r="AR63" s="15">
        <v>490000</v>
      </c>
      <c r="AS63" s="15">
        <v>490000</v>
      </c>
      <c r="AT63" s="15">
        <v>490000</v>
      </c>
      <c r="AU63" s="15">
        <v>490000</v>
      </c>
      <c r="AV63" s="15">
        <v>490000</v>
      </c>
      <c r="AW63" s="15">
        <v>490000</v>
      </c>
      <c r="AX63" s="15">
        <v>490000</v>
      </c>
      <c r="AY63" s="15">
        <v>490000</v>
      </c>
      <c r="AZ63" s="15">
        <v>490000</v>
      </c>
      <c r="BA63" s="15">
        <v>490000</v>
      </c>
      <c r="BB63" s="15">
        <v>490000</v>
      </c>
      <c r="BC63" s="15">
        <v>490000</v>
      </c>
      <c r="BD63" s="15">
        <v>490000</v>
      </c>
      <c r="BE63" s="15">
        <v>490000</v>
      </c>
      <c r="BF63" s="15">
        <v>490000</v>
      </c>
      <c r="BG63" s="15">
        <v>490000</v>
      </c>
      <c r="BH63" s="15">
        <v>490000</v>
      </c>
      <c r="BI63" s="15">
        <v>490000</v>
      </c>
    </row>
    <row r="64" spans="1:61" x14ac:dyDescent="0.35">
      <c r="A64" s="59" t="s">
        <v>542</v>
      </c>
      <c r="B64" s="72">
        <v>276100</v>
      </c>
      <c r="C64" s="64">
        <v>276100</v>
      </c>
      <c r="D64" s="15">
        <v>276100</v>
      </c>
      <c r="E64" s="15">
        <v>276100</v>
      </c>
      <c r="F64" s="15">
        <v>135000</v>
      </c>
      <c r="G64" s="15">
        <v>135000</v>
      </c>
      <c r="H64" s="15">
        <v>135000</v>
      </c>
      <c r="I64" s="15">
        <v>135000</v>
      </c>
      <c r="J64" s="15">
        <v>135000</v>
      </c>
      <c r="K64" s="15">
        <v>135000</v>
      </c>
      <c r="L64" s="15">
        <v>135000</v>
      </c>
      <c r="M64" s="15">
        <v>135000</v>
      </c>
      <c r="N64" s="15">
        <v>135000</v>
      </c>
      <c r="O64" s="15">
        <v>135000</v>
      </c>
      <c r="P64" s="15">
        <v>135000</v>
      </c>
      <c r="Q64" s="15">
        <v>135000</v>
      </c>
      <c r="R64" s="15">
        <v>135000</v>
      </c>
      <c r="S64" s="15">
        <v>135000</v>
      </c>
      <c r="T64" s="15">
        <v>135000</v>
      </c>
      <c r="U64" s="15">
        <v>135000</v>
      </c>
      <c r="V64" s="15">
        <v>135000</v>
      </c>
      <c r="W64" s="15">
        <v>135000</v>
      </c>
      <c r="X64" s="15">
        <v>135000</v>
      </c>
      <c r="Y64" s="15">
        <v>135000</v>
      </c>
      <c r="Z64" s="15">
        <v>135000</v>
      </c>
      <c r="AA64" s="15">
        <v>135000</v>
      </c>
      <c r="AB64" s="15">
        <v>135000</v>
      </c>
      <c r="AC64" s="15">
        <v>135000</v>
      </c>
      <c r="AD64" s="15">
        <v>135000</v>
      </c>
      <c r="AE64" s="15">
        <v>135000</v>
      </c>
      <c r="AF64" s="15">
        <v>135000</v>
      </c>
      <c r="AG64" s="15">
        <v>135000</v>
      </c>
      <c r="AH64" s="15">
        <v>135000</v>
      </c>
      <c r="AI64" s="15">
        <v>135000</v>
      </c>
      <c r="AJ64" s="15">
        <v>135000</v>
      </c>
      <c r="AK64" s="15">
        <v>135000</v>
      </c>
      <c r="AL64" s="15">
        <v>135000</v>
      </c>
      <c r="AM64" s="15">
        <v>135000</v>
      </c>
      <c r="AN64" s="15">
        <v>135000</v>
      </c>
      <c r="AO64" s="15">
        <v>135000</v>
      </c>
      <c r="AP64" s="15">
        <v>135000</v>
      </c>
      <c r="AQ64" s="15">
        <v>135000</v>
      </c>
      <c r="AR64" s="15">
        <v>135000</v>
      </c>
      <c r="AS64" s="15">
        <v>135000</v>
      </c>
      <c r="AT64" s="15">
        <v>135000</v>
      </c>
      <c r="AU64" s="15">
        <v>135000</v>
      </c>
      <c r="AV64" s="15">
        <v>135000</v>
      </c>
      <c r="AW64" s="15">
        <v>135000</v>
      </c>
      <c r="AX64" s="15">
        <v>135000</v>
      </c>
      <c r="AY64" s="15">
        <v>135000</v>
      </c>
      <c r="AZ64" s="15">
        <v>135000</v>
      </c>
      <c r="BA64" s="15">
        <v>135000</v>
      </c>
      <c r="BB64" s="15">
        <v>135000</v>
      </c>
      <c r="BC64" s="15">
        <v>135000</v>
      </c>
      <c r="BD64" s="15">
        <v>135000</v>
      </c>
      <c r="BE64" s="15">
        <v>135000</v>
      </c>
      <c r="BF64" s="15">
        <v>135000</v>
      </c>
      <c r="BG64" s="15">
        <v>135000</v>
      </c>
      <c r="BH64" s="15">
        <v>135000</v>
      </c>
      <c r="BI64" s="15">
        <v>135000</v>
      </c>
    </row>
    <row r="65" spans="1:61" x14ac:dyDescent="0.35">
      <c r="A65" s="59" t="s">
        <v>543</v>
      </c>
      <c r="B65" s="72">
        <v>0</v>
      </c>
      <c r="C65" s="64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27000000</v>
      </c>
      <c r="O65" s="15">
        <v>0</v>
      </c>
      <c r="P65" s="15">
        <v>0</v>
      </c>
      <c r="Q65" s="15">
        <v>0</v>
      </c>
      <c r="R65" s="15">
        <v>0</v>
      </c>
      <c r="S65" s="15">
        <v>27000000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0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</row>
    <row r="66" spans="1:61" x14ac:dyDescent="0.35">
      <c r="A66" s="59" t="s">
        <v>544</v>
      </c>
      <c r="B66" s="72">
        <v>200000</v>
      </c>
      <c r="C66" s="64">
        <v>200000</v>
      </c>
      <c r="D66" s="15">
        <v>200000</v>
      </c>
      <c r="E66" s="15">
        <v>200000</v>
      </c>
      <c r="F66" s="15">
        <v>200000</v>
      </c>
      <c r="G66" s="15">
        <v>200000</v>
      </c>
      <c r="H66" s="15">
        <v>200000</v>
      </c>
      <c r="I66" s="15">
        <v>200000</v>
      </c>
      <c r="J66" s="15">
        <v>200000</v>
      </c>
      <c r="K66" s="15">
        <v>200000</v>
      </c>
      <c r="L66" s="15">
        <v>250000</v>
      </c>
      <c r="M66" s="15">
        <v>200000</v>
      </c>
      <c r="N66" s="15">
        <v>200000</v>
      </c>
      <c r="O66" s="15">
        <v>200000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50000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50000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50000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0</v>
      </c>
      <c r="BG66" s="15">
        <v>0</v>
      </c>
      <c r="BH66" s="15">
        <v>50000</v>
      </c>
      <c r="BI66" s="15">
        <v>0</v>
      </c>
    </row>
    <row r="67" spans="1:61" x14ac:dyDescent="0.35">
      <c r="A67" s="59" t="s">
        <v>680</v>
      </c>
      <c r="B67" s="72"/>
      <c r="C67" s="64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</row>
    <row r="68" spans="1:61" x14ac:dyDescent="0.35">
      <c r="A68" s="59" t="s">
        <v>692</v>
      </c>
      <c r="B68" s="72">
        <v>1000000</v>
      </c>
      <c r="C68" s="72">
        <v>1000000</v>
      </c>
      <c r="D68" s="72">
        <v>1000000</v>
      </c>
      <c r="E68" s="72">
        <v>1000000</v>
      </c>
      <c r="F68" s="72">
        <v>1000000</v>
      </c>
      <c r="G68" s="72">
        <v>1000000</v>
      </c>
      <c r="H68" s="72">
        <v>1000000</v>
      </c>
      <c r="I68" s="72">
        <v>1000000</v>
      </c>
      <c r="J68" s="72">
        <v>1000000</v>
      </c>
      <c r="K68" s="72">
        <v>1000000</v>
      </c>
      <c r="L68" s="72">
        <v>1000000</v>
      </c>
      <c r="M68" s="72">
        <v>1000000</v>
      </c>
      <c r="N68" s="72">
        <v>1000000</v>
      </c>
      <c r="O68" s="72">
        <v>1000000</v>
      </c>
      <c r="P68" s="72">
        <v>1000000</v>
      </c>
      <c r="Q68" s="72">
        <v>1000000</v>
      </c>
      <c r="R68" s="72">
        <v>1000000</v>
      </c>
      <c r="S68" s="72">
        <v>1000000</v>
      </c>
      <c r="T68" s="72">
        <v>1000000</v>
      </c>
      <c r="U68" s="72">
        <v>1000000</v>
      </c>
      <c r="V68" s="72">
        <v>1000000</v>
      </c>
      <c r="W68" s="72">
        <v>1000000</v>
      </c>
      <c r="X68" s="72">
        <v>1000000</v>
      </c>
      <c r="Y68" s="72">
        <v>1000000</v>
      </c>
      <c r="Z68" s="72">
        <v>1000000</v>
      </c>
      <c r="AA68" s="72">
        <v>1000000</v>
      </c>
      <c r="AB68" s="72">
        <v>1000000</v>
      </c>
      <c r="AC68" s="72">
        <v>1000000</v>
      </c>
      <c r="AD68" s="72">
        <v>1000000</v>
      </c>
      <c r="AE68" s="72">
        <v>1000000</v>
      </c>
      <c r="AF68" s="72">
        <v>1000000</v>
      </c>
      <c r="AG68" s="72">
        <v>1000000</v>
      </c>
      <c r="AH68" s="72">
        <v>1000000</v>
      </c>
      <c r="AI68" s="72">
        <v>1000000</v>
      </c>
      <c r="AJ68" s="72">
        <v>1000000</v>
      </c>
      <c r="AK68" s="72">
        <v>1000000</v>
      </c>
      <c r="AL68" s="72">
        <v>1000000</v>
      </c>
      <c r="AM68" s="72">
        <v>1000000</v>
      </c>
      <c r="AN68" s="72">
        <v>1000000</v>
      </c>
      <c r="AO68" s="72">
        <v>1000000</v>
      </c>
      <c r="AP68" s="72">
        <v>1000000</v>
      </c>
      <c r="AQ68" s="72">
        <v>1000000</v>
      </c>
      <c r="AR68" s="72">
        <v>1000000</v>
      </c>
      <c r="AS68" s="72">
        <v>1000000</v>
      </c>
      <c r="AT68" s="72">
        <v>1000000</v>
      </c>
      <c r="AU68" s="72">
        <v>1000000</v>
      </c>
      <c r="AV68" s="72">
        <v>1000000</v>
      </c>
      <c r="AW68" s="72">
        <v>1000000</v>
      </c>
      <c r="AX68" s="72">
        <v>1000000</v>
      </c>
      <c r="AY68" s="72">
        <v>1000000</v>
      </c>
      <c r="AZ68" s="72">
        <v>1000000</v>
      </c>
      <c r="BA68" s="72">
        <v>1000000</v>
      </c>
      <c r="BB68" s="72">
        <v>1000000</v>
      </c>
      <c r="BC68" s="72">
        <v>1000000</v>
      </c>
      <c r="BD68" s="72">
        <v>1000000</v>
      </c>
      <c r="BE68" s="72">
        <v>1000000</v>
      </c>
      <c r="BF68" s="72">
        <v>1000000</v>
      </c>
      <c r="BG68" s="72">
        <v>1000000</v>
      </c>
      <c r="BH68" s="72">
        <v>1000000</v>
      </c>
      <c r="BI68" s="72">
        <v>1000000</v>
      </c>
    </row>
    <row r="69" spans="1:61" x14ac:dyDescent="0.35">
      <c r="A69" s="59" t="s">
        <v>545</v>
      </c>
      <c r="B69" s="72"/>
      <c r="C69" s="64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</row>
    <row r="70" spans="1:61" x14ac:dyDescent="0.35">
      <c r="A70" s="59" t="s">
        <v>681</v>
      </c>
      <c r="B70" s="72">
        <v>0</v>
      </c>
      <c r="C70" s="64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1400000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500000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500000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15">
        <v>0</v>
      </c>
      <c r="AP70" s="15">
        <v>0</v>
      </c>
      <c r="AQ70" s="15">
        <v>0</v>
      </c>
      <c r="AR70" s="15">
        <v>0</v>
      </c>
      <c r="AS70" s="15">
        <v>500000</v>
      </c>
      <c r="AT70" s="15">
        <v>0</v>
      </c>
      <c r="AU70" s="15">
        <v>0</v>
      </c>
      <c r="AV70" s="15">
        <v>0</v>
      </c>
      <c r="AW70" s="15">
        <v>0</v>
      </c>
      <c r="AX70" s="15">
        <v>0</v>
      </c>
      <c r="AY70" s="15">
        <v>0</v>
      </c>
      <c r="AZ70" s="15">
        <v>0</v>
      </c>
      <c r="BA70" s="15">
        <v>0</v>
      </c>
      <c r="BB70" s="15">
        <v>0</v>
      </c>
      <c r="BC70" s="15">
        <v>0</v>
      </c>
      <c r="BD70" s="15">
        <v>0</v>
      </c>
      <c r="BE70" s="15">
        <v>500000</v>
      </c>
      <c r="BF70" s="15">
        <v>0</v>
      </c>
      <c r="BG70" s="15">
        <v>0</v>
      </c>
      <c r="BH70" s="15">
        <v>0</v>
      </c>
      <c r="BI70" s="15">
        <v>0</v>
      </c>
    </row>
    <row r="71" spans="1:61" x14ac:dyDescent="0.35">
      <c r="A71" s="59" t="s">
        <v>683</v>
      </c>
      <c r="B71" s="72"/>
      <c r="C71" s="64"/>
      <c r="D71" s="15"/>
      <c r="E71" s="15"/>
      <c r="F71" s="15"/>
      <c r="G71" s="15">
        <v>9580321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</row>
    <row r="72" spans="1:61" x14ac:dyDescent="0.35">
      <c r="A72" s="59" t="s">
        <v>682</v>
      </c>
      <c r="B72" s="72">
        <v>507234</v>
      </c>
      <c r="C72" s="64">
        <v>507234</v>
      </c>
      <c r="D72" s="15">
        <v>507234</v>
      </c>
      <c r="E72" s="15">
        <v>507234</v>
      </c>
      <c r="F72" s="15">
        <v>507234</v>
      </c>
      <c r="G72" s="15">
        <v>435000</v>
      </c>
      <c r="H72" s="15">
        <v>435000</v>
      </c>
      <c r="I72" s="15">
        <v>435000</v>
      </c>
      <c r="J72" s="15">
        <v>435000</v>
      </c>
      <c r="K72" s="15">
        <v>435000</v>
      </c>
      <c r="L72" s="15">
        <v>435000</v>
      </c>
      <c r="M72" s="15">
        <v>435000</v>
      </c>
      <c r="N72" s="15">
        <v>435000</v>
      </c>
      <c r="O72" s="15">
        <v>435000</v>
      </c>
      <c r="P72" s="15">
        <v>435000</v>
      </c>
      <c r="Q72" s="15">
        <v>435000</v>
      </c>
      <c r="R72" s="15">
        <v>435000</v>
      </c>
      <c r="S72" s="15">
        <v>435000</v>
      </c>
      <c r="T72" s="15">
        <v>435000</v>
      </c>
      <c r="U72" s="15">
        <v>435000</v>
      </c>
      <c r="V72" s="15">
        <v>435000</v>
      </c>
      <c r="W72" s="15">
        <v>435000</v>
      </c>
      <c r="X72" s="15">
        <v>435000</v>
      </c>
      <c r="Y72" s="15">
        <v>435000</v>
      </c>
      <c r="Z72" s="15">
        <v>435000</v>
      </c>
      <c r="AA72" s="15">
        <v>435000</v>
      </c>
      <c r="AB72" s="15">
        <v>435000</v>
      </c>
      <c r="AC72" s="15">
        <v>435000</v>
      </c>
      <c r="AD72" s="15">
        <v>435000</v>
      </c>
      <c r="AE72" s="15">
        <v>435000</v>
      </c>
      <c r="AF72" s="15">
        <v>435000</v>
      </c>
      <c r="AG72" s="15">
        <v>435000</v>
      </c>
      <c r="AH72" s="15">
        <v>435000</v>
      </c>
      <c r="AI72" s="15">
        <v>435000</v>
      </c>
      <c r="AJ72" s="15">
        <v>435000</v>
      </c>
      <c r="AK72" s="15">
        <v>435000</v>
      </c>
      <c r="AL72" s="15">
        <v>435000</v>
      </c>
      <c r="AM72" s="15">
        <v>435000</v>
      </c>
      <c r="AN72" s="15">
        <v>435000</v>
      </c>
      <c r="AO72" s="15">
        <v>435000</v>
      </c>
      <c r="AP72" s="15">
        <v>435000</v>
      </c>
      <c r="AQ72" s="15">
        <v>435000</v>
      </c>
      <c r="AR72" s="15">
        <v>435000</v>
      </c>
      <c r="AS72" s="15">
        <v>435000</v>
      </c>
      <c r="AT72" s="15">
        <v>435000</v>
      </c>
      <c r="AU72" s="15">
        <v>435000</v>
      </c>
      <c r="AV72" s="15">
        <v>435000</v>
      </c>
      <c r="AW72" s="15">
        <v>435000</v>
      </c>
      <c r="AX72" s="15">
        <v>435000</v>
      </c>
      <c r="AY72" s="15">
        <v>435000</v>
      </c>
      <c r="AZ72" s="15">
        <v>435000</v>
      </c>
      <c r="BA72" s="15">
        <v>435000</v>
      </c>
      <c r="BB72" s="15">
        <v>435000</v>
      </c>
      <c r="BC72" s="15">
        <v>435000</v>
      </c>
      <c r="BD72" s="15">
        <v>435000</v>
      </c>
      <c r="BE72" s="15">
        <v>435000</v>
      </c>
      <c r="BF72" s="15">
        <v>435000</v>
      </c>
      <c r="BG72" s="15">
        <v>435000</v>
      </c>
      <c r="BH72" s="15">
        <v>435000</v>
      </c>
      <c r="BI72" s="15">
        <v>435000</v>
      </c>
    </row>
    <row r="73" spans="1:61" x14ac:dyDescent="0.35">
      <c r="A73" s="59" t="s">
        <v>546</v>
      </c>
      <c r="B73" s="72">
        <v>400000</v>
      </c>
      <c r="C73" s="64">
        <v>400000</v>
      </c>
      <c r="D73" s="15">
        <v>400000</v>
      </c>
      <c r="E73" s="15">
        <v>400000</v>
      </c>
      <c r="F73" s="15">
        <v>400000</v>
      </c>
      <c r="G73" s="15">
        <v>400000</v>
      </c>
      <c r="H73" s="15">
        <v>400000</v>
      </c>
      <c r="I73" s="15">
        <v>400000</v>
      </c>
      <c r="J73" s="15">
        <v>400000</v>
      </c>
      <c r="K73" s="15">
        <v>400000</v>
      </c>
      <c r="L73" s="15">
        <v>400000</v>
      </c>
      <c r="M73" s="15">
        <v>400000</v>
      </c>
      <c r="N73" s="15">
        <v>400000</v>
      </c>
      <c r="O73" s="15">
        <v>400000</v>
      </c>
      <c r="P73" s="15">
        <v>400000</v>
      </c>
      <c r="Q73" s="15">
        <v>400000</v>
      </c>
      <c r="R73" s="15">
        <v>400000</v>
      </c>
      <c r="S73" s="15">
        <v>400000</v>
      </c>
      <c r="T73" s="15">
        <v>400000</v>
      </c>
      <c r="U73" s="15">
        <v>400000</v>
      </c>
      <c r="V73" s="15">
        <v>400000</v>
      </c>
      <c r="W73" s="15">
        <v>400000</v>
      </c>
      <c r="X73" s="15">
        <v>400000</v>
      </c>
      <c r="Y73" s="15">
        <v>400000</v>
      </c>
      <c r="Z73" s="15">
        <v>400000</v>
      </c>
      <c r="AA73" s="15">
        <v>400000</v>
      </c>
      <c r="AB73" s="15">
        <v>400000</v>
      </c>
      <c r="AC73" s="15">
        <v>400000</v>
      </c>
      <c r="AD73" s="15">
        <v>400000</v>
      </c>
      <c r="AE73" s="15">
        <v>400000</v>
      </c>
      <c r="AF73" s="15">
        <v>400000</v>
      </c>
      <c r="AG73" s="15">
        <v>400000</v>
      </c>
      <c r="AH73" s="15">
        <v>400000</v>
      </c>
      <c r="AI73" s="15">
        <v>400000</v>
      </c>
      <c r="AJ73" s="15">
        <v>400000</v>
      </c>
      <c r="AK73" s="15">
        <v>400000</v>
      </c>
      <c r="AL73" s="15">
        <v>400000</v>
      </c>
      <c r="AM73" s="15">
        <v>400000</v>
      </c>
      <c r="AN73" s="15">
        <v>400000</v>
      </c>
      <c r="AO73" s="15">
        <v>400000</v>
      </c>
      <c r="AP73" s="15">
        <v>400000</v>
      </c>
      <c r="AQ73" s="15">
        <v>400000</v>
      </c>
      <c r="AR73" s="15">
        <v>400000</v>
      </c>
      <c r="AS73" s="15">
        <v>400000</v>
      </c>
      <c r="AT73" s="15">
        <v>400000</v>
      </c>
      <c r="AU73" s="15">
        <v>400000</v>
      </c>
      <c r="AV73" s="15">
        <v>400000</v>
      </c>
      <c r="AW73" s="15">
        <v>400000</v>
      </c>
      <c r="AX73" s="15">
        <v>400000</v>
      </c>
      <c r="AY73" s="15">
        <v>400000</v>
      </c>
      <c r="AZ73" s="15">
        <v>400000</v>
      </c>
      <c r="BA73" s="15">
        <v>400000</v>
      </c>
      <c r="BB73" s="15">
        <v>400000</v>
      </c>
      <c r="BC73" s="15">
        <v>400000</v>
      </c>
      <c r="BD73" s="15">
        <v>400000</v>
      </c>
      <c r="BE73" s="15">
        <v>400000</v>
      </c>
      <c r="BF73" s="15">
        <v>400000</v>
      </c>
      <c r="BG73" s="15">
        <v>400000</v>
      </c>
      <c r="BH73" s="15">
        <v>400000</v>
      </c>
      <c r="BI73" s="15">
        <v>400000</v>
      </c>
    </row>
    <row r="74" spans="1:61" x14ac:dyDescent="0.35">
      <c r="A74" s="59" t="s">
        <v>505</v>
      </c>
      <c r="B74" s="72">
        <v>4023392</v>
      </c>
      <c r="C74" s="64">
        <v>4023392</v>
      </c>
      <c r="D74" s="15">
        <v>4023392</v>
      </c>
      <c r="E74" s="15">
        <v>4023392</v>
      </c>
      <c r="F74" s="15">
        <v>4023392</v>
      </c>
      <c r="G74" s="15">
        <v>4023392</v>
      </c>
      <c r="H74" s="15">
        <v>4023392</v>
      </c>
      <c r="I74" s="15">
        <v>4023392</v>
      </c>
      <c r="J74" s="15">
        <v>4023392</v>
      </c>
      <c r="K74" s="15">
        <v>4023392</v>
      </c>
      <c r="L74" s="15">
        <v>4023392</v>
      </c>
      <c r="M74" s="15">
        <v>4023392</v>
      </c>
      <c r="N74" s="15">
        <v>4023392</v>
      </c>
      <c r="O74" s="15">
        <v>4023392</v>
      </c>
      <c r="P74" s="15">
        <v>4023392</v>
      </c>
      <c r="Q74" s="15">
        <v>4023392</v>
      </c>
      <c r="R74" s="15">
        <v>4023392</v>
      </c>
      <c r="S74" s="15">
        <v>4023392</v>
      </c>
      <c r="T74" s="15">
        <v>4023392</v>
      </c>
      <c r="U74" s="15">
        <v>4023392</v>
      </c>
      <c r="V74" s="15">
        <v>4023392</v>
      </c>
      <c r="W74" s="15">
        <v>4023392</v>
      </c>
      <c r="X74" s="15">
        <v>4023392</v>
      </c>
      <c r="Y74" s="15">
        <v>4023392</v>
      </c>
      <c r="Z74" s="15">
        <v>4023392</v>
      </c>
      <c r="AA74" s="15">
        <v>4023392</v>
      </c>
      <c r="AB74" s="15">
        <v>4023392</v>
      </c>
      <c r="AC74" s="15">
        <v>4023392</v>
      </c>
      <c r="AD74" s="15">
        <v>4023392</v>
      </c>
      <c r="AE74" s="15">
        <v>4023392</v>
      </c>
      <c r="AF74" s="15">
        <v>4023392</v>
      </c>
      <c r="AG74" s="15">
        <v>4023392</v>
      </c>
      <c r="AH74" s="15">
        <v>4023392</v>
      </c>
      <c r="AI74" s="15">
        <v>4023392</v>
      </c>
      <c r="AJ74" s="15">
        <v>4023392</v>
      </c>
      <c r="AK74" s="15">
        <v>4023392</v>
      </c>
      <c r="AL74" s="15">
        <v>4023392</v>
      </c>
      <c r="AM74" s="15">
        <v>4023392</v>
      </c>
      <c r="AN74" s="15">
        <v>4023392</v>
      </c>
      <c r="AO74" s="15">
        <v>4023392</v>
      </c>
      <c r="AP74" s="15">
        <v>4023392</v>
      </c>
      <c r="AQ74" s="15">
        <v>4023392</v>
      </c>
      <c r="AR74" s="15">
        <v>4023392</v>
      </c>
      <c r="AS74" s="15">
        <v>4023392</v>
      </c>
      <c r="AT74" s="15">
        <v>4023392</v>
      </c>
      <c r="AU74" s="15">
        <v>4023392</v>
      </c>
      <c r="AV74" s="15">
        <v>4023392</v>
      </c>
      <c r="AW74" s="15">
        <v>4023392</v>
      </c>
      <c r="AX74" s="15">
        <v>4023392</v>
      </c>
      <c r="AY74" s="15">
        <v>4023392</v>
      </c>
      <c r="AZ74" s="15">
        <v>4023392</v>
      </c>
      <c r="BA74" s="15">
        <v>4023392</v>
      </c>
      <c r="BB74" s="15">
        <v>4023392</v>
      </c>
      <c r="BC74" s="15">
        <v>4023392</v>
      </c>
      <c r="BD74" s="15">
        <v>4023392</v>
      </c>
      <c r="BE74" s="15">
        <v>4023392</v>
      </c>
      <c r="BF74" s="15">
        <v>4023392</v>
      </c>
      <c r="BG74" s="15">
        <v>4023392</v>
      </c>
      <c r="BH74" s="15">
        <v>4023392</v>
      </c>
      <c r="BI74" s="15">
        <v>4023392</v>
      </c>
    </row>
    <row r="75" spans="1:61" x14ac:dyDescent="0.35">
      <c r="A75" s="59" t="s">
        <v>547</v>
      </c>
      <c r="B75" s="72">
        <v>700000</v>
      </c>
      <c r="C75" s="64">
        <v>700000</v>
      </c>
      <c r="D75" s="15">
        <v>700000</v>
      </c>
      <c r="E75" s="15">
        <v>700000</v>
      </c>
      <c r="F75" s="15">
        <v>700000</v>
      </c>
      <c r="G75" s="15">
        <v>700000</v>
      </c>
      <c r="H75" s="15">
        <v>700000</v>
      </c>
      <c r="I75" s="15">
        <v>700000</v>
      </c>
      <c r="J75" s="15">
        <v>700000</v>
      </c>
      <c r="K75" s="15">
        <v>700000</v>
      </c>
      <c r="L75" s="15">
        <v>700000</v>
      </c>
      <c r="M75" s="15">
        <v>700000</v>
      </c>
      <c r="N75" s="15">
        <v>700000</v>
      </c>
      <c r="O75" s="15">
        <v>700000</v>
      </c>
      <c r="P75" s="15">
        <v>700000</v>
      </c>
      <c r="Q75" s="15">
        <v>700000</v>
      </c>
      <c r="R75" s="15">
        <v>700000</v>
      </c>
      <c r="S75" s="15">
        <v>700000</v>
      </c>
      <c r="T75" s="15">
        <v>700000</v>
      </c>
      <c r="U75" s="15">
        <v>700000</v>
      </c>
      <c r="V75" s="15">
        <v>700000</v>
      </c>
      <c r="W75" s="15">
        <v>700000</v>
      </c>
      <c r="X75" s="15">
        <v>700000</v>
      </c>
      <c r="Y75" s="15">
        <v>700000</v>
      </c>
      <c r="Z75" s="15">
        <v>700000</v>
      </c>
      <c r="AA75" s="15">
        <v>700000</v>
      </c>
      <c r="AB75" s="15">
        <v>700000</v>
      </c>
      <c r="AC75" s="15">
        <v>700000</v>
      </c>
      <c r="AD75" s="15">
        <v>700000</v>
      </c>
      <c r="AE75" s="15">
        <v>700000</v>
      </c>
      <c r="AF75" s="15">
        <v>700000</v>
      </c>
      <c r="AG75" s="15">
        <v>700000</v>
      </c>
      <c r="AH75" s="15">
        <v>700000</v>
      </c>
      <c r="AI75" s="15">
        <v>700000</v>
      </c>
      <c r="AJ75" s="15">
        <v>700000</v>
      </c>
      <c r="AK75" s="15">
        <v>700000</v>
      </c>
      <c r="AL75" s="15">
        <v>700000</v>
      </c>
      <c r="AM75" s="15">
        <v>700000</v>
      </c>
      <c r="AN75" s="15">
        <v>700000</v>
      </c>
      <c r="AO75" s="15">
        <v>700000</v>
      </c>
      <c r="AP75" s="15">
        <v>700000</v>
      </c>
      <c r="AQ75" s="15">
        <v>700000</v>
      </c>
      <c r="AR75" s="15">
        <v>700000</v>
      </c>
      <c r="AS75" s="15">
        <v>700000</v>
      </c>
      <c r="AT75" s="15">
        <v>700000</v>
      </c>
      <c r="AU75" s="15">
        <v>700000</v>
      </c>
      <c r="AV75" s="15">
        <v>700000</v>
      </c>
      <c r="AW75" s="15">
        <v>700000</v>
      </c>
      <c r="AX75" s="15">
        <v>700000</v>
      </c>
      <c r="AY75" s="15">
        <v>700000</v>
      </c>
      <c r="AZ75" s="15">
        <v>700000</v>
      </c>
      <c r="BA75" s="15">
        <v>700000</v>
      </c>
      <c r="BB75" s="15">
        <v>700000</v>
      </c>
      <c r="BC75" s="15">
        <v>700000</v>
      </c>
      <c r="BD75" s="15">
        <v>700000</v>
      </c>
      <c r="BE75" s="15">
        <v>700000</v>
      </c>
      <c r="BF75" s="15">
        <v>700000</v>
      </c>
      <c r="BG75" s="15">
        <v>700000</v>
      </c>
      <c r="BH75" s="15">
        <v>700000</v>
      </c>
      <c r="BI75" s="15">
        <v>700000</v>
      </c>
    </row>
    <row r="76" spans="1:61" x14ac:dyDescent="0.35">
      <c r="A76" s="59" t="s">
        <v>687</v>
      </c>
      <c r="B76" s="72">
        <v>599928</v>
      </c>
      <c r="C76" s="64">
        <v>0</v>
      </c>
      <c r="D76" s="15">
        <v>398377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599928</v>
      </c>
      <c r="O76" s="15">
        <v>0</v>
      </c>
      <c r="P76" s="15">
        <v>398377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599928</v>
      </c>
      <c r="AA76" s="15">
        <v>0</v>
      </c>
      <c r="AB76" s="15">
        <v>398377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599928</v>
      </c>
      <c r="AM76" s="15">
        <v>0</v>
      </c>
      <c r="AN76" s="15">
        <v>398377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599928</v>
      </c>
      <c r="AY76" s="15">
        <v>0</v>
      </c>
      <c r="AZ76" s="15">
        <v>398377</v>
      </c>
      <c r="BA76" s="15">
        <v>0</v>
      </c>
      <c r="BB76" s="15">
        <v>0</v>
      </c>
      <c r="BC76" s="15">
        <v>0</v>
      </c>
      <c r="BD76" s="15">
        <v>0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</row>
    <row r="77" spans="1:61" x14ac:dyDescent="0.35">
      <c r="A77" s="59" t="s">
        <v>548</v>
      </c>
      <c r="B77" s="72">
        <v>90000</v>
      </c>
      <c r="C77" s="64">
        <v>90000</v>
      </c>
      <c r="D77" s="15">
        <v>90000</v>
      </c>
      <c r="E77" s="15">
        <v>90000</v>
      </c>
      <c r="F77" s="15">
        <v>90000</v>
      </c>
      <c r="G77" s="15">
        <v>90000</v>
      </c>
      <c r="H77" s="15">
        <v>90000</v>
      </c>
      <c r="I77" s="15">
        <v>90000</v>
      </c>
      <c r="J77" s="15">
        <v>70000</v>
      </c>
      <c r="K77" s="15">
        <v>70000</v>
      </c>
      <c r="L77" s="15">
        <v>70000</v>
      </c>
      <c r="M77" s="15">
        <v>70000</v>
      </c>
      <c r="N77" s="15">
        <v>70000</v>
      </c>
      <c r="O77" s="15">
        <v>70000</v>
      </c>
      <c r="P77" s="15">
        <v>70000</v>
      </c>
      <c r="Q77" s="15">
        <v>70000</v>
      </c>
      <c r="R77" s="15">
        <v>70000</v>
      </c>
      <c r="S77" s="15">
        <v>70000</v>
      </c>
      <c r="T77" s="15">
        <v>70000</v>
      </c>
      <c r="U77" s="15">
        <v>70000</v>
      </c>
      <c r="V77" s="15">
        <v>70000</v>
      </c>
      <c r="W77" s="15">
        <v>70000</v>
      </c>
      <c r="X77" s="15">
        <v>70000</v>
      </c>
      <c r="Y77" s="15">
        <v>70000</v>
      </c>
      <c r="Z77" s="15">
        <v>70000</v>
      </c>
      <c r="AA77" s="15">
        <v>70000</v>
      </c>
      <c r="AB77" s="15">
        <v>70000</v>
      </c>
      <c r="AC77" s="15">
        <v>70000</v>
      </c>
      <c r="AD77" s="15">
        <v>70000</v>
      </c>
      <c r="AE77" s="15">
        <v>70000</v>
      </c>
      <c r="AF77" s="15">
        <v>70000</v>
      </c>
      <c r="AG77" s="15">
        <v>70000</v>
      </c>
      <c r="AH77" s="15">
        <v>70000</v>
      </c>
      <c r="AI77" s="15">
        <v>70000</v>
      </c>
      <c r="AJ77" s="15">
        <v>70000</v>
      </c>
      <c r="AK77" s="15">
        <v>70000</v>
      </c>
      <c r="AL77" s="15">
        <v>70000</v>
      </c>
      <c r="AM77" s="15">
        <v>70000</v>
      </c>
      <c r="AN77" s="15">
        <v>70000</v>
      </c>
      <c r="AO77" s="15">
        <v>70000</v>
      </c>
      <c r="AP77" s="15">
        <v>70000</v>
      </c>
      <c r="AQ77" s="15">
        <v>70000</v>
      </c>
      <c r="AR77" s="15">
        <v>70000</v>
      </c>
      <c r="AS77" s="15">
        <v>70000</v>
      </c>
      <c r="AT77" s="15">
        <v>70000</v>
      </c>
      <c r="AU77" s="15">
        <v>70000</v>
      </c>
      <c r="AV77" s="15">
        <v>70000</v>
      </c>
      <c r="AW77" s="15">
        <v>70000</v>
      </c>
      <c r="AX77" s="15">
        <v>70000</v>
      </c>
      <c r="AY77" s="15">
        <v>70000</v>
      </c>
      <c r="AZ77" s="15">
        <v>70000</v>
      </c>
      <c r="BA77" s="15">
        <v>70000</v>
      </c>
      <c r="BB77" s="15">
        <v>70000</v>
      </c>
      <c r="BC77" s="15">
        <v>70000</v>
      </c>
      <c r="BD77" s="15">
        <v>70000</v>
      </c>
      <c r="BE77" s="15">
        <v>70000</v>
      </c>
      <c r="BF77" s="15">
        <v>70000</v>
      </c>
      <c r="BG77" s="15">
        <v>70000</v>
      </c>
      <c r="BH77" s="15">
        <v>70000</v>
      </c>
      <c r="BI77" s="15">
        <v>70000</v>
      </c>
    </row>
    <row r="78" spans="1:61" x14ac:dyDescent="0.35">
      <c r="A78" s="59" t="s">
        <v>539</v>
      </c>
      <c r="B78" s="72"/>
      <c r="C78" s="64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</row>
    <row r="79" spans="1:61" x14ac:dyDescent="0.35">
      <c r="A79" s="2" t="s">
        <v>511</v>
      </c>
      <c r="B79" s="75">
        <v>620882</v>
      </c>
      <c r="C79" s="39">
        <v>672644</v>
      </c>
      <c r="D79" s="39">
        <v>617859</v>
      </c>
      <c r="E79" s="39">
        <v>672644</v>
      </c>
      <c r="F79" s="39">
        <v>609818</v>
      </c>
      <c r="G79" s="39">
        <v>609334</v>
      </c>
      <c r="H79" s="39">
        <v>609334</v>
      </c>
      <c r="I79" s="39">
        <v>616834</v>
      </c>
      <c r="J79" s="39">
        <v>759795</v>
      </c>
      <c r="K79" s="39">
        <v>609034</v>
      </c>
      <c r="L79" s="39">
        <v>670545</v>
      </c>
      <c r="M79" s="39">
        <v>609034</v>
      </c>
      <c r="N79" s="39">
        <v>1023033</v>
      </c>
      <c r="O79" s="39">
        <v>669795</v>
      </c>
      <c r="P79" s="39">
        <v>612010</v>
      </c>
      <c r="Q79" s="39">
        <v>666795</v>
      </c>
      <c r="R79" s="39">
        <v>606034</v>
      </c>
      <c r="S79" s="39">
        <v>1011034</v>
      </c>
      <c r="T79" s="39">
        <v>673834</v>
      </c>
      <c r="U79" s="39">
        <v>681334</v>
      </c>
      <c r="V79" s="39">
        <v>734595</v>
      </c>
      <c r="W79" s="39">
        <v>676834</v>
      </c>
      <c r="X79" s="39">
        <v>663345</v>
      </c>
      <c r="Y79" s="39">
        <v>600934</v>
      </c>
      <c r="Z79" s="39">
        <v>609933</v>
      </c>
      <c r="AA79" s="39">
        <v>737940</v>
      </c>
      <c r="AB79" s="39">
        <v>606910</v>
      </c>
      <c r="AC79" s="39">
        <v>662940</v>
      </c>
      <c r="AD79" s="39">
        <v>548434</v>
      </c>
      <c r="AE79" s="39">
        <v>550249</v>
      </c>
      <c r="AF79" s="39">
        <v>550249</v>
      </c>
      <c r="AG79" s="39">
        <v>557749</v>
      </c>
      <c r="AH79" s="39">
        <v>611010</v>
      </c>
      <c r="AI79" s="39">
        <v>547249</v>
      </c>
      <c r="AJ79" s="39">
        <v>608760</v>
      </c>
      <c r="AK79" s="39">
        <v>549499</v>
      </c>
      <c r="AL79" s="39">
        <v>556248</v>
      </c>
      <c r="AM79" s="39">
        <v>608010</v>
      </c>
      <c r="AN79" s="39">
        <v>553225</v>
      </c>
      <c r="AO79" s="39">
        <v>608010</v>
      </c>
      <c r="AP79" s="39">
        <v>547249</v>
      </c>
      <c r="AQ79" s="39">
        <v>608010</v>
      </c>
      <c r="AR79" s="39">
        <v>430138</v>
      </c>
      <c r="AS79" s="39">
        <v>408388</v>
      </c>
      <c r="AT79" s="39">
        <v>431971</v>
      </c>
      <c r="AU79" s="39">
        <v>17949088</v>
      </c>
      <c r="AV79" s="39">
        <v>427532</v>
      </c>
      <c r="AW79" s="39">
        <v>393899</v>
      </c>
      <c r="AX79" s="39">
        <v>402898</v>
      </c>
      <c r="AY79" s="39">
        <v>426782</v>
      </c>
      <c r="AZ79" s="39">
        <v>399875</v>
      </c>
      <c r="BA79" s="39">
        <v>426782</v>
      </c>
      <c r="BB79" s="39">
        <v>393899</v>
      </c>
      <c r="BC79" s="39">
        <v>393899</v>
      </c>
      <c r="BD79" s="39">
        <v>393899</v>
      </c>
      <c r="BE79" s="39">
        <v>398399</v>
      </c>
      <c r="BF79" s="39">
        <v>423782</v>
      </c>
      <c r="BG79" s="39">
        <v>390899</v>
      </c>
      <c r="BH79" s="39">
        <v>424532</v>
      </c>
      <c r="BI79" s="39">
        <v>465899</v>
      </c>
    </row>
    <row r="80" spans="1:61" x14ac:dyDescent="0.35">
      <c r="A80" s="29" t="s">
        <v>549</v>
      </c>
      <c r="B80" s="76">
        <f>SUM(B29:B79)</f>
        <v>35845695</v>
      </c>
      <c r="C80" s="30">
        <f>SUM(C29:C79)</f>
        <v>39348237</v>
      </c>
      <c r="D80" s="30">
        <f>SUM(D29:D79)</f>
        <v>35641121</v>
      </c>
      <c r="E80" s="30">
        <f>SUM(E29:E79)</f>
        <v>39348237</v>
      </c>
      <c r="F80" s="30">
        <f>SUM(F29:F79)</f>
        <v>35097000</v>
      </c>
      <c r="G80" s="30">
        <f>SUM(G29:G79)</f>
        <v>43844603</v>
      </c>
      <c r="H80" s="30">
        <f>SUM(H29:H79)</f>
        <v>34264282</v>
      </c>
      <c r="I80" s="30">
        <f>SUM(I29:I79)</f>
        <v>35671782</v>
      </c>
      <c r="J80" s="30">
        <f>SUM(J29:J79)</f>
        <v>38445451</v>
      </c>
      <c r="K80" s="30">
        <f>SUM(K29:K79)</f>
        <v>34243982</v>
      </c>
      <c r="L80" s="30">
        <f>SUM(L29:L79)</f>
        <v>38406201</v>
      </c>
      <c r="M80" s="30">
        <f>SUM(M29:M79)</f>
        <v>34243982</v>
      </c>
      <c r="N80" s="30">
        <f>SUM(N29:N79)</f>
        <v>62257909</v>
      </c>
      <c r="O80" s="30">
        <f>SUM(O29:O79)</f>
        <v>38355451</v>
      </c>
      <c r="P80" s="30">
        <f>SUM(P29:P79)</f>
        <v>34445335</v>
      </c>
      <c r="Q80" s="30">
        <f>SUM(Q29:Q79)</f>
        <v>38152451</v>
      </c>
      <c r="R80" s="30">
        <f>SUM(R29:R79)</f>
        <v>34040982</v>
      </c>
      <c r="S80" s="30">
        <f>SUM(S29:S79)</f>
        <v>61445982</v>
      </c>
      <c r="T80" s="30">
        <f>SUM(T29:T79)</f>
        <v>37428782</v>
      </c>
      <c r="U80" s="30">
        <f>SUM(U29:U79)</f>
        <v>37936282</v>
      </c>
      <c r="V80" s="30">
        <f>SUM(V29:V79)</f>
        <v>41540251</v>
      </c>
      <c r="W80" s="30">
        <f>SUM(W29:W79)</f>
        <v>37581782</v>
      </c>
      <c r="X80" s="30">
        <f>SUM(X29:X79)</f>
        <v>36669001</v>
      </c>
      <c r="Y80" s="30">
        <f>SUM(Y29:Y79)</f>
        <v>32445882</v>
      </c>
      <c r="Z80" s="30">
        <f>SUM(Z29:Z79)</f>
        <v>34254809</v>
      </c>
      <c r="AA80" s="30">
        <f>SUM(AA29:AA79)</f>
        <v>37916596</v>
      </c>
      <c r="AB80" s="30">
        <f>SUM(AB29:AB79)</f>
        <v>33310235</v>
      </c>
      <c r="AC80" s="30">
        <f>SUM(AC29:AC79)</f>
        <v>37101596</v>
      </c>
      <c r="AD80" s="30">
        <f>SUM(AD29:AD79)</f>
        <v>29353382</v>
      </c>
      <c r="AE80" s="30">
        <f>SUM(AE29:AE79)</f>
        <v>29476197</v>
      </c>
      <c r="AF80" s="30">
        <f>SUM(AF29:AF79)</f>
        <v>29476197</v>
      </c>
      <c r="AG80" s="30">
        <f>SUM(AG29:AG79)</f>
        <v>29983697</v>
      </c>
      <c r="AH80" s="30">
        <f>SUM(AH29:AH79)</f>
        <v>33587666</v>
      </c>
      <c r="AI80" s="30">
        <f>SUM(AI29:AI79)</f>
        <v>29273197</v>
      </c>
      <c r="AJ80" s="30">
        <f>SUM(AJ29:AJ79)</f>
        <v>33435416</v>
      </c>
      <c r="AK80" s="30">
        <f>SUM(AK29:AK79)</f>
        <v>29425447</v>
      </c>
      <c r="AL80" s="30">
        <f>SUM(AL29:AL79)</f>
        <v>29882124</v>
      </c>
      <c r="AM80" s="30">
        <f>SUM(AM29:AM79)</f>
        <v>33384666</v>
      </c>
      <c r="AN80" s="30">
        <f>SUM(AN29:AN79)</f>
        <v>29677550</v>
      </c>
      <c r="AO80" s="30">
        <f>SUM(AO29:AO79)</f>
        <v>33384666</v>
      </c>
      <c r="AP80" s="30">
        <f>SUM(AP29:AP79)</f>
        <v>29273197</v>
      </c>
      <c r="AQ80" s="30">
        <f>SUM(AQ29:AQ79)</f>
        <v>33384666</v>
      </c>
      <c r="AR80" s="30">
        <f>SUM(AR29:AR79)</f>
        <v>19206086</v>
      </c>
      <c r="AS80" s="30">
        <f>SUM(AS29:AS79)</f>
        <v>20234336</v>
      </c>
      <c r="AT80" s="30">
        <f>SUM(AT29:AT79)</f>
        <v>21830127</v>
      </c>
      <c r="AU80" s="30">
        <f>SUM(AU29:AU79)</f>
        <v>1207155036</v>
      </c>
      <c r="AV80" s="30">
        <f>SUM(AV29:AV79)</f>
        <v>21529786</v>
      </c>
      <c r="AW80" s="30">
        <f>SUM(AW29:AW79)</f>
        <v>19253945</v>
      </c>
      <c r="AX80" s="30">
        <f>SUM(AX29:AX79)</f>
        <v>19862872</v>
      </c>
      <c r="AY80" s="30">
        <f>SUM(AY29:AY79)</f>
        <v>21479036</v>
      </c>
      <c r="AZ80" s="30">
        <f>SUM(AZ29:AZ79)</f>
        <v>19658298</v>
      </c>
      <c r="BA80" s="30">
        <f>SUM(BA29:BA79)</f>
        <v>21479036</v>
      </c>
      <c r="BB80" s="30">
        <f>SUM(BB29:BB79)</f>
        <v>19253945</v>
      </c>
      <c r="BC80" s="30">
        <f>SUM(BC29:BC79)</f>
        <v>19253945</v>
      </c>
      <c r="BD80" s="30">
        <f>SUM(BD29:BD79)</f>
        <v>19253945</v>
      </c>
      <c r="BE80" s="30">
        <f>SUM(BE29:BE79)</f>
        <v>19558445</v>
      </c>
      <c r="BF80" s="30">
        <f>SUM(BF29:BF79)</f>
        <v>21276036</v>
      </c>
      <c r="BG80" s="30">
        <f>SUM(BG29:BG79)</f>
        <v>19050945</v>
      </c>
      <c r="BH80" s="30">
        <f>SUM(BH29:BH79)</f>
        <v>21326786</v>
      </c>
      <c r="BI80" s="30">
        <f>SUM(BI29:BI79)</f>
        <v>19125945</v>
      </c>
    </row>
    <row r="82" spans="1:61" x14ac:dyDescent="0.35">
      <c r="A82" s="29" t="s">
        <v>550</v>
      </c>
      <c r="B82" s="76">
        <f>B26-B80</f>
        <v>7511505.7403560877</v>
      </c>
      <c r="C82" s="30">
        <f>C26-C80</f>
        <v>5695174.3051508963</v>
      </c>
      <c r="D82" s="30">
        <f>D26-D80</f>
        <v>8642031.1258852407</v>
      </c>
      <c r="E82" s="30">
        <f>E26-E80</f>
        <v>31695174.305150896</v>
      </c>
      <c r="F82" s="30">
        <f>F26-F80</f>
        <v>9822221.2403560877</v>
      </c>
      <c r="G82" s="30">
        <f>G26-G80</f>
        <v>-425381.75964391232</v>
      </c>
      <c r="H82" s="30">
        <f>H26-H80</f>
        <v>9154939.2403560877</v>
      </c>
      <c r="I82" s="30">
        <f>I26-I80</f>
        <v>24547439.240356088</v>
      </c>
      <c r="J82" s="30">
        <f>J26-J80</f>
        <v>4973770.2403560877</v>
      </c>
      <c r="K82" s="30">
        <f>K26-K80</f>
        <v>9175239.2403560877</v>
      </c>
      <c r="L82" s="30">
        <f>L26-L80</f>
        <v>5013020.2403560877</v>
      </c>
      <c r="M82" s="30">
        <f>M26-M80</f>
        <v>9175239.2403560877</v>
      </c>
      <c r="N82" s="30">
        <f>N26-N80</f>
        <v>-18838687.759643912</v>
      </c>
      <c r="O82" s="30">
        <f>O26-O80</f>
        <v>5063770.2403560877</v>
      </c>
      <c r="P82" s="30">
        <f>P26-P80</f>
        <v>8973886.2403560877</v>
      </c>
      <c r="Q82" s="30">
        <f>Q26-Q80</f>
        <v>31266770.240356088</v>
      </c>
      <c r="R82" s="30">
        <f>R26-R80</f>
        <v>9378239.2403560877</v>
      </c>
      <c r="S82" s="30">
        <f>S26-S80</f>
        <v>-18026760.759643912</v>
      </c>
      <c r="T82" s="30">
        <f>T26-T80</f>
        <v>5990439.2403560877</v>
      </c>
      <c r="U82" s="30">
        <f>U26-U80</f>
        <v>21762939.240356088</v>
      </c>
      <c r="V82" s="30">
        <f>V26-V80</f>
        <v>1358970.2403560877</v>
      </c>
      <c r="W82" s="30">
        <f>W26-W80</f>
        <v>5317439.2403560877</v>
      </c>
      <c r="X82" s="30">
        <f>X26-X80</f>
        <v>6230220.2403560877</v>
      </c>
      <c r="Y82" s="30">
        <f>Y26-Y80</f>
        <v>10453339.240356088</v>
      </c>
      <c r="Z82" s="30">
        <f>Z26-Z80</f>
        <v>8644412.2403560877</v>
      </c>
      <c r="AA82" s="30">
        <f>AA26-AA80</f>
        <v>4694975.2403560877</v>
      </c>
      <c r="AB82" s="30">
        <f>AB26-AB80</f>
        <v>9301336.2403560877</v>
      </c>
      <c r="AC82" s="30">
        <f>AC26-AC80</f>
        <v>35198975.240356088</v>
      </c>
      <c r="AD82" s="30">
        <f>AD26-AD80</f>
        <v>13258189.240356088</v>
      </c>
      <c r="AE82" s="30">
        <f>AE26-AE80</f>
        <v>13135374.240356088</v>
      </c>
      <c r="AF82" s="30">
        <f>AF26-AF80</f>
        <v>13135374.240356088</v>
      </c>
      <c r="AG82" s="30">
        <f>AG26-AG80</f>
        <v>29427874.240356088</v>
      </c>
      <c r="AH82" s="30">
        <f>AH26-AH80</f>
        <v>9023905.2403560877</v>
      </c>
      <c r="AI82" s="30">
        <f>AI26-AI80</f>
        <v>13338374.240356088</v>
      </c>
      <c r="AJ82" s="30">
        <f>AJ26-AJ80</f>
        <v>9176155.2403560877</v>
      </c>
      <c r="AK82" s="30">
        <f>AK26-AK80</f>
        <v>13186124.240356088</v>
      </c>
      <c r="AL82" s="30">
        <f>AL26-AL80</f>
        <v>12729447.240356088</v>
      </c>
      <c r="AM82" s="30">
        <f>AM26-AM80</f>
        <v>9226905.2403560877</v>
      </c>
      <c r="AN82" s="30">
        <f>AN26-AN80</f>
        <v>12934021.240356088</v>
      </c>
      <c r="AO82" s="30">
        <f>AO26-AO80</f>
        <v>38915905.240356088</v>
      </c>
      <c r="AP82" s="30">
        <f>AP26-AP80</f>
        <v>13338374.240356088</v>
      </c>
      <c r="AQ82" s="30">
        <f>AQ26-AQ80</f>
        <v>9655837.2403560877</v>
      </c>
      <c r="AR82" s="30">
        <f>AR26-AR80</f>
        <v>23405485.240356088</v>
      </c>
      <c r="AS82" s="30">
        <f>AS26-AS80</f>
        <v>39177235.240356088</v>
      </c>
      <c r="AT82" s="30">
        <f>AT26-AT80</f>
        <v>20781444.240356088</v>
      </c>
      <c r="AU82" s="30">
        <f>AU26-AU80</f>
        <v>-1164543464.759644</v>
      </c>
      <c r="AV82" s="30">
        <f>AV26-AV80</f>
        <v>21081785.240356088</v>
      </c>
      <c r="AW82" s="30">
        <f>AW26-AW80</f>
        <v>23357626.240356088</v>
      </c>
      <c r="AX82" s="30">
        <f>AX26-AX80</f>
        <v>22748699.240356088</v>
      </c>
      <c r="AY82" s="30">
        <f>AY26-AY80</f>
        <v>21132535.240356088</v>
      </c>
      <c r="AZ82" s="30">
        <f>AZ26-AZ80</f>
        <v>22953273.240356088</v>
      </c>
      <c r="BA82" s="30">
        <f>BA26-BA80</f>
        <v>50821535.240356088</v>
      </c>
      <c r="BB82" s="30">
        <f>BB26-BB80</f>
        <v>23357626.240356088</v>
      </c>
      <c r="BC82" s="30">
        <f>BC26-BC80</f>
        <v>23357626.240356088</v>
      </c>
      <c r="BD82" s="30">
        <f>BD26-BD80</f>
        <v>23357626.240356088</v>
      </c>
      <c r="BE82" s="30">
        <f>BE26-BE80</f>
        <v>39853126.240356088</v>
      </c>
      <c r="BF82" s="30">
        <f>BF26-BF80</f>
        <v>21335535.240356088</v>
      </c>
      <c r="BG82" s="30">
        <f>BG26-BG80</f>
        <v>23560626.240356088</v>
      </c>
      <c r="BH82" s="30">
        <f>BH26-BH80</f>
        <v>21284785.240356088</v>
      </c>
      <c r="BI82" s="30">
        <f>BI26-BI80</f>
        <v>23414626.240356088</v>
      </c>
    </row>
    <row r="83" spans="1:61" x14ac:dyDescent="0.35">
      <c r="A83" s="2" t="s">
        <v>551</v>
      </c>
      <c r="B83" s="77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39"/>
      <c r="AR83" s="39"/>
      <c r="AS83" s="39"/>
      <c r="AT83" s="39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</row>
    <row r="85" spans="1:61" ht="58" x14ac:dyDescent="0.35">
      <c r="A85" s="14" t="s">
        <v>552</v>
      </c>
    </row>
    <row r="87" spans="1:61" x14ac:dyDescent="0.35">
      <c r="A87" s="3" t="s">
        <v>553</v>
      </c>
    </row>
    <row r="88" spans="1:61" ht="62" x14ac:dyDescent="0.35">
      <c r="A88" s="62" t="s">
        <v>554</v>
      </c>
      <c r="B88" s="78" t="s">
        <v>555</v>
      </c>
      <c r="C88" s="67" t="s">
        <v>556</v>
      </c>
      <c r="D88" s="5" t="s">
        <v>557</v>
      </c>
      <c r="E88" s="5" t="s">
        <v>558</v>
      </c>
      <c r="F88" s="5" t="s">
        <v>559</v>
      </c>
    </row>
    <row r="89" spans="1:61" x14ac:dyDescent="0.35">
      <c r="A89" s="59" t="s">
        <v>560</v>
      </c>
      <c r="B89" s="72">
        <v>36480426</v>
      </c>
      <c r="C89" s="64">
        <v>23202253</v>
      </c>
      <c r="D89" s="15">
        <v>13278174</v>
      </c>
      <c r="E89" s="15">
        <v>91978890</v>
      </c>
      <c r="F89" s="15">
        <v>2021055889</v>
      </c>
    </row>
    <row r="90" spans="1:61" x14ac:dyDescent="0.35">
      <c r="A90" s="59" t="s">
        <v>561</v>
      </c>
      <c r="B90" s="72">
        <v>48290827</v>
      </c>
      <c r="C90" s="64">
        <v>30357671</v>
      </c>
      <c r="D90" s="15">
        <v>17933157</v>
      </c>
      <c r="E90" s="25">
        <v>-1442977982</v>
      </c>
      <c r="F90" s="15">
        <v>1973395420</v>
      </c>
    </row>
    <row r="91" spans="1:61" x14ac:dyDescent="0.35">
      <c r="A91" s="59" t="s">
        <v>562</v>
      </c>
      <c r="B91" s="72">
        <v>50494954</v>
      </c>
      <c r="C91" s="64">
        <v>27634249</v>
      </c>
      <c r="D91" s="15">
        <v>22860705</v>
      </c>
      <c r="E91" s="15">
        <v>166625417</v>
      </c>
      <c r="F91" s="15">
        <v>1849625541</v>
      </c>
    </row>
    <row r="92" spans="1:61" x14ac:dyDescent="0.35">
      <c r="A92" s="59" t="s">
        <v>563</v>
      </c>
      <c r="B92" s="72">
        <v>50757902</v>
      </c>
      <c r="C92" s="64">
        <v>27395555</v>
      </c>
      <c r="D92" s="15">
        <v>23362347</v>
      </c>
      <c r="E92" s="25">
        <v>-303081387</v>
      </c>
      <c r="F92" s="15">
        <v>1829631628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3864"/>
  </sheetPr>
  <dimension ref="A1:D41"/>
  <sheetViews>
    <sheetView zoomScaleNormal="100" workbookViewId="0">
      <pane ySplit="3" topLeftCell="A4" activePane="bottomLeft" state="frozen"/>
      <selection pane="bottomLeft" activeCell="B30" sqref="B30"/>
    </sheetView>
  </sheetViews>
  <sheetFormatPr baseColWidth="10" defaultColWidth="8.6328125" defaultRowHeight="14.5" x14ac:dyDescent="0.35"/>
  <cols>
    <col min="1" max="1" width="42" customWidth="1"/>
    <col min="2" max="2" width="20" customWidth="1"/>
    <col min="3" max="3" width="15" customWidth="1"/>
    <col min="4" max="4" width="42" customWidth="1"/>
  </cols>
  <sheetData>
    <row r="1" spans="1:4" ht="25.5" customHeight="1" x14ac:dyDescent="0.35">
      <c r="A1" s="53" t="s">
        <v>564</v>
      </c>
      <c r="B1" s="53"/>
      <c r="C1" s="53"/>
      <c r="D1" s="53"/>
    </row>
    <row r="2" spans="1:4" x14ac:dyDescent="0.35">
      <c r="A2" s="54" t="s">
        <v>565</v>
      </c>
      <c r="B2" s="54"/>
      <c r="C2" s="54"/>
      <c r="D2" s="54"/>
    </row>
    <row r="4" spans="1:4" x14ac:dyDescent="0.35">
      <c r="A4" s="3" t="s">
        <v>566</v>
      </c>
      <c r="B4" s="28"/>
      <c r="C4" s="28"/>
      <c r="D4" s="28"/>
    </row>
    <row r="5" spans="1:4" ht="15.5" x14ac:dyDescent="0.35">
      <c r="A5" s="5" t="s">
        <v>567</v>
      </c>
      <c r="B5" s="5" t="s">
        <v>117</v>
      </c>
      <c r="C5" s="5" t="s">
        <v>568</v>
      </c>
      <c r="D5" s="5" t="s">
        <v>569</v>
      </c>
    </row>
    <row r="6" spans="1:4" x14ac:dyDescent="0.35">
      <c r="A6" s="6" t="s">
        <v>570</v>
      </c>
      <c r="B6" s="41">
        <f>Liquidez!D33</f>
        <v>46044820</v>
      </c>
      <c r="C6" s="42">
        <f t="shared" ref="C6:C11" si="0">B6/B$12</f>
        <v>3.1438066388197964E-3</v>
      </c>
      <c r="D6" s="20" t="s">
        <v>571</v>
      </c>
    </row>
    <row r="7" spans="1:4" x14ac:dyDescent="0.35">
      <c r="A7" s="6" t="s">
        <v>572</v>
      </c>
      <c r="B7" s="41">
        <f>Inversiones_Financieras!D38</f>
        <v>590887018</v>
      </c>
      <c r="C7" s="42">
        <f t="shared" si="0"/>
        <v>4.0344050209791954E-2</v>
      </c>
      <c r="D7" s="20" t="s">
        <v>573</v>
      </c>
    </row>
    <row r="8" spans="1:4" x14ac:dyDescent="0.35">
      <c r="A8" s="6" t="s">
        <v>574</v>
      </c>
      <c r="B8" s="41">
        <f>Otras_Partidas!B21</f>
        <v>80077240</v>
      </c>
      <c r="C8" s="42">
        <f t="shared" si="0"/>
        <v>5.4674414783327675E-3</v>
      </c>
      <c r="D8" s="20" t="s">
        <v>575</v>
      </c>
    </row>
    <row r="9" spans="1:4" x14ac:dyDescent="0.35">
      <c r="A9" s="6" t="s">
        <v>576</v>
      </c>
      <c r="B9" s="41">
        <f>Otras_Partidas!B31</f>
        <v>39175638</v>
      </c>
      <c r="C9" s="42">
        <f t="shared" si="0"/>
        <v>2.674798833493129E-3</v>
      </c>
      <c r="D9" s="20" t="s">
        <v>575</v>
      </c>
    </row>
    <row r="10" spans="1:4" x14ac:dyDescent="0.35">
      <c r="A10" s="6" t="s">
        <v>577</v>
      </c>
      <c r="B10" s="41">
        <f>Bienes_Raices!L39</f>
        <v>7063315031.6045456</v>
      </c>
      <c r="C10" s="42">
        <f t="shared" si="0"/>
        <v>0.48226264514518752</v>
      </c>
      <c r="D10" s="20" t="s">
        <v>578</v>
      </c>
    </row>
    <row r="11" spans="1:4" x14ac:dyDescent="0.35">
      <c r="A11" s="6" t="s">
        <v>579</v>
      </c>
      <c r="B11" s="41">
        <f>Empresas!E39</f>
        <v>6826700000</v>
      </c>
      <c r="C11" s="42">
        <f t="shared" si="0"/>
        <v>0.46610725769437489</v>
      </c>
      <c r="D11" s="20" t="s">
        <v>580</v>
      </c>
    </row>
    <row r="12" spans="1:4" x14ac:dyDescent="0.35">
      <c r="A12" s="29" t="s">
        <v>581</v>
      </c>
      <c r="B12" s="30">
        <f>B6+B7+B8+B9+B10+B11</f>
        <v>14646199747.604546</v>
      </c>
      <c r="C12" s="43"/>
      <c r="D12" s="43"/>
    </row>
    <row r="14" spans="1:4" x14ac:dyDescent="0.35">
      <c r="A14" s="3" t="s">
        <v>582</v>
      </c>
      <c r="B14" s="28"/>
      <c r="C14" s="28"/>
      <c r="D14" s="28"/>
    </row>
    <row r="15" spans="1:4" ht="15.5" x14ac:dyDescent="0.35">
      <c r="A15" s="5" t="s">
        <v>567</v>
      </c>
      <c r="B15" s="5" t="s">
        <v>117</v>
      </c>
      <c r="C15" s="5" t="s">
        <v>568</v>
      </c>
      <c r="D15" s="5" t="s">
        <v>569</v>
      </c>
    </row>
    <row r="16" spans="1:4" x14ac:dyDescent="0.35">
      <c r="A16" s="6" t="s">
        <v>583</v>
      </c>
      <c r="B16" s="41">
        <f>Pasivos!D10</f>
        <v>11742074</v>
      </c>
      <c r="C16" s="21"/>
      <c r="D16" s="20" t="s">
        <v>584</v>
      </c>
    </row>
    <row r="17" spans="1:4" x14ac:dyDescent="0.35">
      <c r="A17" s="29" t="s">
        <v>429</v>
      </c>
      <c r="B17" s="30">
        <f>B16</f>
        <v>11742074</v>
      </c>
      <c r="C17" s="43"/>
      <c r="D17" s="43"/>
    </row>
    <row r="19" spans="1:4" x14ac:dyDescent="0.35">
      <c r="A19" s="3" t="s">
        <v>585</v>
      </c>
      <c r="B19" s="28"/>
      <c r="C19" s="28"/>
      <c r="D19" s="28"/>
    </row>
    <row r="20" spans="1:4" x14ac:dyDescent="0.35">
      <c r="A20" s="29" t="s">
        <v>586</v>
      </c>
      <c r="B20" s="30">
        <f>B12-B17</f>
        <v>14634457673.604546</v>
      </c>
    </row>
    <row r="21" spans="1:4" x14ac:dyDescent="0.35">
      <c r="A21" s="2" t="s">
        <v>587</v>
      </c>
      <c r="B21" s="44">
        <f>Activos_Contingentes!B8</f>
        <v>180935763</v>
      </c>
    </row>
    <row r="22" spans="1:4" x14ac:dyDescent="0.35">
      <c r="A22" s="45" t="s">
        <v>588</v>
      </c>
      <c r="B22" s="46">
        <f>B20+B21</f>
        <v>14815393436.604546</v>
      </c>
    </row>
    <row r="25" spans="1:4" x14ac:dyDescent="0.35">
      <c r="A25" s="3" t="s">
        <v>589</v>
      </c>
      <c r="B25" s="28"/>
      <c r="C25" s="28"/>
      <c r="D25" s="28"/>
    </row>
    <row r="26" spans="1:4" ht="15.5" x14ac:dyDescent="0.35">
      <c r="A26" s="5" t="s">
        <v>590</v>
      </c>
      <c r="B26" s="5" t="s">
        <v>117</v>
      </c>
      <c r="C26" s="5" t="s">
        <v>568</v>
      </c>
      <c r="D26" s="5"/>
    </row>
    <row r="27" spans="1:4" x14ac:dyDescent="0.35">
      <c r="A27" s="6" t="s">
        <v>591</v>
      </c>
      <c r="B27" s="41">
        <f>B6</f>
        <v>46044820</v>
      </c>
      <c r="C27" s="42">
        <f>B27/B$12</f>
        <v>3.1438066388197964E-3</v>
      </c>
    </row>
    <row r="28" spans="1:4" x14ac:dyDescent="0.35">
      <c r="A28" s="6" t="s">
        <v>592</v>
      </c>
      <c r="B28" s="41">
        <f>B7</f>
        <v>590887018</v>
      </c>
      <c r="C28" s="42">
        <f>B28/B$12</f>
        <v>4.0344050209791954E-2</v>
      </c>
    </row>
    <row r="29" spans="1:4" x14ac:dyDescent="0.35">
      <c r="A29" s="6" t="s">
        <v>593</v>
      </c>
      <c r="B29" s="41">
        <f>B10</f>
        <v>7063315031.6045456</v>
      </c>
      <c r="C29" s="42">
        <f>B29/B$12</f>
        <v>0.48226264514518752</v>
      </c>
    </row>
    <row r="30" spans="1:4" x14ac:dyDescent="0.35">
      <c r="A30" s="6" t="s">
        <v>594</v>
      </c>
      <c r="B30" s="41">
        <f>B11</f>
        <v>6826700000</v>
      </c>
      <c r="C30" s="42">
        <f>B30/B$12</f>
        <v>0.46610725769437489</v>
      </c>
    </row>
    <row r="31" spans="1:4" x14ac:dyDescent="0.35">
      <c r="A31" s="6" t="s">
        <v>595</v>
      </c>
      <c r="B31" s="41">
        <f>B8+B9</f>
        <v>119252878</v>
      </c>
      <c r="C31" s="42">
        <f>B31/B$12</f>
        <v>8.1422403118258969E-3</v>
      </c>
    </row>
    <row r="33" spans="1:4" x14ac:dyDescent="0.35">
      <c r="A33" s="3" t="s">
        <v>596</v>
      </c>
      <c r="B33" s="28"/>
      <c r="C33" s="28"/>
      <c r="D33" s="28"/>
    </row>
    <row r="34" spans="1:4" ht="26.9" customHeight="1" x14ac:dyDescent="0.35">
      <c r="A34" s="55" t="s">
        <v>597</v>
      </c>
      <c r="B34" s="55"/>
      <c r="C34" s="55"/>
      <c r="D34" s="55"/>
    </row>
    <row r="35" spans="1:4" ht="31" x14ac:dyDescent="0.35">
      <c r="A35" s="5" t="s">
        <v>590</v>
      </c>
      <c r="B35" s="5" t="s">
        <v>598</v>
      </c>
      <c r="C35" s="5" t="s">
        <v>271</v>
      </c>
      <c r="D35" s="5" t="s">
        <v>569</v>
      </c>
    </row>
    <row r="36" spans="1:4" x14ac:dyDescent="0.35">
      <c r="A36" s="24" t="s">
        <v>591</v>
      </c>
      <c r="B36" s="47">
        <f>Supuestos!B10</f>
        <v>5.0000000000000001E-3</v>
      </c>
      <c r="C36" s="48" t="s">
        <v>599</v>
      </c>
      <c r="D36" s="48" t="s">
        <v>600</v>
      </c>
    </row>
    <row r="37" spans="1:4" x14ac:dyDescent="0.35">
      <c r="A37" s="24" t="s">
        <v>592</v>
      </c>
      <c r="B37" s="47">
        <f>Supuestos!B11</f>
        <v>4.4999999999999998E-2</v>
      </c>
      <c r="C37" s="48" t="s">
        <v>599</v>
      </c>
      <c r="D37" s="48" t="s">
        <v>600</v>
      </c>
    </row>
    <row r="38" spans="1:4" x14ac:dyDescent="0.35">
      <c r="A38" s="24" t="s">
        <v>593</v>
      </c>
      <c r="B38" s="47">
        <f>Supuestos!B12</f>
        <v>0.03</v>
      </c>
      <c r="C38" s="48" t="s">
        <v>599</v>
      </c>
      <c r="D38" s="48" t="s">
        <v>600</v>
      </c>
    </row>
    <row r="39" spans="1:4" x14ac:dyDescent="0.35">
      <c r="A39" s="24" t="s">
        <v>601</v>
      </c>
      <c r="B39" s="47">
        <f>Supuestos!B13</f>
        <v>0.06</v>
      </c>
      <c r="C39" s="48" t="s">
        <v>599</v>
      </c>
      <c r="D39" s="48" t="s">
        <v>600</v>
      </c>
    </row>
    <row r="41" spans="1:4" ht="39.5" customHeight="1" x14ac:dyDescent="0.35">
      <c r="A41" s="55" t="s">
        <v>602</v>
      </c>
      <c r="B41" s="55"/>
      <c r="C41" s="55"/>
      <c r="D41" s="55"/>
    </row>
  </sheetData>
  <mergeCells count="4">
    <mergeCell ref="A1:D1"/>
    <mergeCell ref="A2:D2"/>
    <mergeCell ref="A34:D34"/>
    <mergeCell ref="A41:D4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E34"/>
  <sheetViews>
    <sheetView zoomScaleNormal="100" workbookViewId="0">
      <pane ySplit="4" topLeftCell="A21" activePane="bottomLeft" state="frozen"/>
      <selection pane="bottomLeft" activeCell="E2" sqref="E2"/>
    </sheetView>
  </sheetViews>
  <sheetFormatPr baseColWidth="10" defaultColWidth="8.6328125" defaultRowHeight="14.5" x14ac:dyDescent="0.35"/>
  <cols>
    <col min="1" max="1" width="50" customWidth="1"/>
    <col min="2" max="4" width="16" customWidth="1"/>
    <col min="5" max="5" width="45" customWidth="1"/>
  </cols>
  <sheetData>
    <row r="1" spans="1:5" ht="18" x14ac:dyDescent="0.4">
      <c r="A1" s="1" t="s">
        <v>603</v>
      </c>
    </row>
    <row r="2" spans="1:5" ht="58" x14ac:dyDescent="0.35">
      <c r="A2" s="14" t="s">
        <v>604</v>
      </c>
    </row>
    <row r="4" spans="1:5" x14ac:dyDescent="0.35">
      <c r="A4" s="3" t="s">
        <v>605</v>
      </c>
      <c r="B4" s="28"/>
      <c r="C4" s="28"/>
      <c r="D4" s="28"/>
    </row>
    <row r="5" spans="1:5" ht="15.5" x14ac:dyDescent="0.35">
      <c r="A5" s="5" t="s">
        <v>606</v>
      </c>
      <c r="B5" s="5" t="s">
        <v>46</v>
      </c>
      <c r="C5" s="5"/>
      <c r="D5" s="5"/>
      <c r="E5" s="5" t="s">
        <v>607</v>
      </c>
    </row>
    <row r="6" spans="1:5" x14ac:dyDescent="0.35">
      <c r="A6" s="6" t="s">
        <v>608</v>
      </c>
      <c r="B6" s="41">
        <f>Balance_Consolidado!B12</f>
        <v>14646199747.604546</v>
      </c>
      <c r="C6" s="21"/>
      <c r="D6" s="21"/>
      <c r="E6" s="8" t="s">
        <v>609</v>
      </c>
    </row>
    <row r="7" spans="1:5" x14ac:dyDescent="0.35">
      <c r="A7" s="6" t="s">
        <v>610</v>
      </c>
      <c r="B7" s="41">
        <f>Balance_Consolidado!B17</f>
        <v>11742074</v>
      </c>
      <c r="C7" s="21"/>
      <c r="D7" s="21"/>
      <c r="E7" s="8" t="s">
        <v>609</v>
      </c>
    </row>
    <row r="8" spans="1:5" x14ac:dyDescent="0.35">
      <c r="A8" s="6" t="s">
        <v>611</v>
      </c>
      <c r="B8" s="41">
        <f>Balance_Consolidado!B20</f>
        <v>14634457673.604546</v>
      </c>
      <c r="C8" s="21"/>
      <c r="D8" s="21"/>
      <c r="E8" s="8" t="s">
        <v>609</v>
      </c>
    </row>
    <row r="9" spans="1:5" ht="29" x14ac:dyDescent="0.35">
      <c r="A9" s="6" t="s">
        <v>612</v>
      </c>
      <c r="B9" s="49">
        <f>B7/B6</f>
        <v>8.0171472479886603E-4</v>
      </c>
      <c r="C9" s="21"/>
      <c r="D9" s="21"/>
      <c r="E9" s="8" t="s">
        <v>613</v>
      </c>
    </row>
    <row r="10" spans="1:5" x14ac:dyDescent="0.35">
      <c r="A10" s="6" t="s">
        <v>614</v>
      </c>
      <c r="B10" s="49">
        <f>B7/B8</f>
        <v>8.0235798701161324E-4</v>
      </c>
      <c r="C10" s="21"/>
      <c r="D10" s="21"/>
      <c r="E10" s="8" t="s">
        <v>615</v>
      </c>
    </row>
    <row r="11" spans="1:5" x14ac:dyDescent="0.35">
      <c r="A11" s="6" t="s">
        <v>616</v>
      </c>
      <c r="B11" s="49">
        <f>Balance_Consolidado!B6/B6</f>
        <v>3.1438066388197964E-3</v>
      </c>
      <c r="C11" s="21"/>
      <c r="D11" s="21"/>
      <c r="E11" s="8" t="s">
        <v>617</v>
      </c>
    </row>
    <row r="12" spans="1:5" ht="29" x14ac:dyDescent="0.35">
      <c r="A12" s="6" t="s">
        <v>618</v>
      </c>
      <c r="B12" s="49">
        <f>Balance_Consolidado!B10/B6</f>
        <v>0.48226264514518752</v>
      </c>
      <c r="C12" s="21"/>
      <c r="D12" s="21"/>
      <c r="E12" s="8" t="s">
        <v>619</v>
      </c>
    </row>
    <row r="13" spans="1:5" ht="29" x14ac:dyDescent="0.35">
      <c r="A13" s="6" t="s">
        <v>620</v>
      </c>
      <c r="B13" s="49">
        <f>Balance_Consolidado!B11/B6</f>
        <v>0.46610725769437489</v>
      </c>
      <c r="C13" s="21"/>
      <c r="D13" s="21"/>
      <c r="E13" s="8" t="s">
        <v>621</v>
      </c>
    </row>
    <row r="14" spans="1:5" x14ac:dyDescent="0.35">
      <c r="A14" s="6" t="s">
        <v>622</v>
      </c>
      <c r="B14" s="49">
        <f>Balance_Consolidado!B7/B6</f>
        <v>4.0344050209791954E-2</v>
      </c>
      <c r="C14" s="21"/>
      <c r="D14" s="21"/>
      <c r="E14" s="8" t="s">
        <v>623</v>
      </c>
    </row>
    <row r="15" spans="1:5" ht="29" x14ac:dyDescent="0.35">
      <c r="A15" s="6" t="s">
        <v>624</v>
      </c>
      <c r="B15" s="49">
        <f>MAX(Bienes_Raices!L5:L38)/B6</f>
        <v>0.13943818432040828</v>
      </c>
      <c r="C15" s="21"/>
      <c r="D15" s="21"/>
      <c r="E15" s="8" t="s">
        <v>625</v>
      </c>
    </row>
    <row r="17" spans="1:5" x14ac:dyDescent="0.35">
      <c r="A17" s="3" t="s">
        <v>626</v>
      </c>
      <c r="B17" s="28"/>
      <c r="C17" s="28"/>
      <c r="D17" s="28"/>
    </row>
    <row r="18" spans="1:5" ht="15.5" x14ac:dyDescent="0.35">
      <c r="A18" s="5" t="s">
        <v>606</v>
      </c>
      <c r="B18" s="5" t="s">
        <v>46</v>
      </c>
      <c r="C18" s="5"/>
      <c r="D18" s="5"/>
      <c r="E18" s="5" t="s">
        <v>607</v>
      </c>
    </row>
    <row r="19" spans="1:5" ht="29" x14ac:dyDescent="0.35">
      <c r="A19" s="6" t="s">
        <v>627</v>
      </c>
      <c r="B19" s="50">
        <f>Flujo_Caja!B26/Flujo_Caja!B80</f>
        <v>1.2095511257448373</v>
      </c>
      <c r="C19" s="21"/>
      <c r="D19" s="21"/>
      <c r="E19" s="8" t="s">
        <v>628</v>
      </c>
    </row>
    <row r="20" spans="1:5" x14ac:dyDescent="0.35">
      <c r="A20" s="6" t="s">
        <v>629</v>
      </c>
      <c r="B20" s="51">
        <f>Balance_Consolidado!B6/Flujo_Caja!B80</f>
        <v>1.2845285884399786</v>
      </c>
      <c r="C20" s="21"/>
      <c r="D20" s="21"/>
      <c r="E20" s="8" t="s">
        <v>630</v>
      </c>
    </row>
    <row r="21" spans="1:5" ht="29" x14ac:dyDescent="0.35">
      <c r="A21" s="6" t="s">
        <v>631</v>
      </c>
      <c r="B21" s="41">
        <f>MIN(Flujo_Caja!E89:E92)</f>
        <v>-1442977982</v>
      </c>
      <c r="C21" s="21"/>
      <c r="D21" s="21"/>
      <c r="E21" s="8" t="s">
        <v>632</v>
      </c>
    </row>
    <row r="23" spans="1:5" x14ac:dyDescent="0.35">
      <c r="A23" s="3" t="s">
        <v>633</v>
      </c>
      <c r="B23" s="28"/>
      <c r="C23" s="28"/>
      <c r="D23" s="28"/>
    </row>
    <row r="24" spans="1:5" ht="15.5" x14ac:dyDescent="0.35">
      <c r="A24" s="5" t="s">
        <v>606</v>
      </c>
      <c r="B24" s="5" t="s">
        <v>73</v>
      </c>
      <c r="C24" s="5" t="s">
        <v>75</v>
      </c>
      <c r="D24" s="5" t="s">
        <v>77</v>
      </c>
      <c r="E24" s="5" t="s">
        <v>607</v>
      </c>
    </row>
    <row r="25" spans="1:5" ht="43.5" x14ac:dyDescent="0.35">
      <c r="A25" s="6" t="s">
        <v>634</v>
      </c>
      <c r="B25" s="41">
        <f>$B$8*(1+ (Balance_Consolidado!B6/$B$6)*Supuestos!$B$10 + (Balance_Consolidado!B7/$B$6)*Supuestos!$B$11 + (Balance_Consolidado!B10/$B$6)*Supuestos!$B$12 + (Balance_Consolidado!B11/$B$6)*Supuestos!$B$13)^1</f>
        <v>15282259495.496887</v>
      </c>
      <c r="C25" s="41">
        <f>$B$8*(1+ (Balance_Consolidado!B6/$B$6)*Supuestos!$B$10 + (Balance_Consolidado!B7/$B$6)*Supuestos!$B$11 + (Balance_Consolidado!B10/$B$6)*Supuestos!$B$12 + (Balance_Consolidado!B11/$B$6)*Supuestos!$B$13)^5</f>
        <v>18173196288.503582</v>
      </c>
      <c r="D25" s="41">
        <f>$B$8*(1+ (Balance_Consolidado!B6/$B$6)*Supuestos!$B$10 + (Balance_Consolidado!B7/$B$6)*Supuestos!$B$11 + (Balance_Consolidado!B10/$B$6)*Supuestos!$B$12 + (Balance_Consolidado!B11/$B$6)*Supuestos!$B$13)^10</f>
        <v>22567632549.593094</v>
      </c>
      <c r="E25" s="14" t="s">
        <v>635</v>
      </c>
    </row>
    <row r="26" spans="1:5" x14ac:dyDescent="0.35">
      <c r="A26" s="6" t="s">
        <v>636</v>
      </c>
      <c r="B26" s="49">
        <f>(Balance_Consolidado!B6/$B$6)*Supuestos!$B$10+(Balance_Consolidado!B7/$B$6)*Supuestos!$B$11+(Balance_Consolidado!B10/$B$6)*Supuestos!$B$12+(Balance_Consolidado!B11/$B$6)*Supuestos!$B$13</f>
        <v>4.4265516108652855E-2</v>
      </c>
      <c r="C26" s="49">
        <f>(Balance_Consolidado!B6/$B$6)*Supuestos!$B$10+(Balance_Consolidado!B7/$B$6)*Supuestos!$B$11+(Balance_Consolidado!B10/$B$6)*Supuestos!$B$12+(Balance_Consolidado!B11/$B$6)*Supuestos!$B$13</f>
        <v>4.4265516108652855E-2</v>
      </c>
      <c r="D26" s="49">
        <f>(Balance_Consolidado!B6/$B$6)*Supuestos!$B$10+(Balance_Consolidado!B7/$B$6)*Supuestos!$B$11+(Balance_Consolidado!B10/$B$6)*Supuestos!$B$12+(Balance_Consolidado!B11/$B$6)*Supuestos!$B$13</f>
        <v>4.4265516108652855E-2</v>
      </c>
    </row>
    <row r="27" spans="1:5" x14ac:dyDescent="0.35">
      <c r="A27" s="6" t="s">
        <v>637</v>
      </c>
      <c r="B27" s="41">
        <f>Flujo_Caja!B90</f>
        <v>48290827</v>
      </c>
      <c r="C27" s="41">
        <f>Flujo_Caja!B91</f>
        <v>50494954</v>
      </c>
      <c r="D27" s="41">
        <f>Flujo_Caja!B92</f>
        <v>50757902</v>
      </c>
    </row>
    <row r="28" spans="1:5" x14ac:dyDescent="0.35">
      <c r="A28" s="6" t="s">
        <v>638</v>
      </c>
      <c r="B28" s="41">
        <f>Flujo_Caja!C90</f>
        <v>30357671</v>
      </c>
      <c r="C28" s="41">
        <f>Flujo_Caja!C91</f>
        <v>27634249</v>
      </c>
      <c r="D28" s="41">
        <f>Flujo_Caja!C92</f>
        <v>27395555</v>
      </c>
    </row>
    <row r="30" spans="1:5" x14ac:dyDescent="0.35">
      <c r="A30" s="3" t="s">
        <v>639</v>
      </c>
      <c r="B30" s="28"/>
      <c r="C30" s="28"/>
      <c r="D30" s="28"/>
    </row>
    <row r="31" spans="1:5" ht="15.5" x14ac:dyDescent="0.35">
      <c r="A31" s="5" t="s">
        <v>606</v>
      </c>
      <c r="B31" s="5" t="s">
        <v>46</v>
      </c>
      <c r="C31" s="5"/>
      <c r="D31" s="5"/>
      <c r="E31" s="5" t="s">
        <v>607</v>
      </c>
    </row>
    <row r="32" spans="1:5" ht="43.5" x14ac:dyDescent="0.35">
      <c r="A32" s="6" t="s">
        <v>640</v>
      </c>
      <c r="B32" s="52">
        <f>(Balance_Consolidado!B6/$B$6)^2+(Balance_Consolidado!B7/$B$6)^2+(Balance_Consolidado!B10/$B$6)^2+(Balance_Consolidado!B11/$B$6)^2</f>
        <v>0.45147076048531598</v>
      </c>
      <c r="C32" s="21"/>
      <c r="D32" s="21"/>
      <c r="E32" s="8" t="s">
        <v>641</v>
      </c>
    </row>
    <row r="33" spans="1:5" x14ac:dyDescent="0.35">
      <c r="A33" s="6" t="s">
        <v>642</v>
      </c>
      <c r="B33" s="49">
        <f>Balance_Consolidado!B21/B8</f>
        <v>1.2363680775567445E-2</v>
      </c>
      <c r="C33" s="21"/>
      <c r="D33" s="21"/>
      <c r="E33" s="8" t="s">
        <v>643</v>
      </c>
    </row>
    <row r="34" spans="1:5" ht="43.5" x14ac:dyDescent="0.35">
      <c r="A34" s="6" t="s">
        <v>644</v>
      </c>
      <c r="B34" s="33">
        <v>834889277</v>
      </c>
      <c r="C34" s="21"/>
      <c r="D34" s="21"/>
      <c r="E34" s="8" t="s">
        <v>645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README</vt:lpstr>
      <vt:lpstr>Supuestos</vt:lpstr>
      <vt:lpstr>Perimetro_Familiar</vt:lpstr>
      <vt:lpstr>Liquidez</vt:lpstr>
      <vt:lpstr>Inversiones_Financieras</vt:lpstr>
      <vt:lpstr>Otras_Partidas</vt:lpstr>
      <vt:lpstr>Bienes_Raices</vt:lpstr>
      <vt:lpstr>Empresas</vt:lpstr>
      <vt:lpstr>Pasivos</vt:lpstr>
      <vt:lpstr>Activos_Contingentes</vt:lpstr>
      <vt:lpstr>Flujo_Caja</vt:lpstr>
      <vt:lpstr>Balance_Consolidado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Tomas Armas (Chile)</cp:lastModifiedBy>
  <cp:revision>1</cp:revision>
  <dcterms:created xsi:type="dcterms:W3CDTF">2026-08-08T18:52:08Z</dcterms:created>
  <dcterms:modified xsi:type="dcterms:W3CDTF">2026-08-25T13:52:24Z</dcterms:modified>
  <dc:language>en-US</dc:language>
</cp:coreProperties>
</file>